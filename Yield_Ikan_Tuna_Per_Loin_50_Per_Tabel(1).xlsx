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587E0E99-21D6-40F4-8028-564CC6F174A3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TALLY DALAM" sheetId="2" r:id="rId1"/>
  </sheets>
  <calcPr calcId="191029"/>
</workbook>
</file>

<file path=xl/calcChain.xml><?xml version="1.0" encoding="utf-8"?>
<calcChain xmlns="http://schemas.openxmlformats.org/spreadsheetml/2006/main">
  <c r="M76" i="2" l="1"/>
  <c r="P76" i="2"/>
  <c r="R67" i="2"/>
  <c r="S67" i="2" s="1"/>
  <c r="R79" i="2"/>
  <c r="C86" i="2"/>
  <c r="O76" i="2"/>
  <c r="O75" i="2"/>
  <c r="O69" i="2"/>
  <c r="M75" i="2"/>
  <c r="P75" i="2" s="1"/>
  <c r="R75" i="2" s="1"/>
  <c r="O74" i="2"/>
  <c r="M74" i="2"/>
  <c r="P74" i="2" s="1"/>
  <c r="R74" i="2" s="1"/>
  <c r="O71" i="2"/>
  <c r="M71" i="2"/>
  <c r="O70" i="2"/>
  <c r="L70" i="2"/>
  <c r="N69" i="2"/>
  <c r="O68" i="2"/>
  <c r="M68" i="2"/>
  <c r="P68" i="2" s="1"/>
  <c r="R68" i="2" s="1"/>
  <c r="E74" i="2"/>
  <c r="F74" i="2"/>
  <c r="G74" i="2"/>
  <c r="H74" i="2"/>
  <c r="I74" i="2"/>
  <c r="K74" i="2"/>
  <c r="Q74" i="2"/>
  <c r="E75" i="2"/>
  <c r="F75" i="2"/>
  <c r="G75" i="2"/>
  <c r="H75" i="2"/>
  <c r="I75" i="2"/>
  <c r="K75" i="2"/>
  <c r="Q75" i="2"/>
  <c r="E76" i="2"/>
  <c r="F76" i="2"/>
  <c r="G76" i="2"/>
  <c r="H76" i="2"/>
  <c r="I76" i="2"/>
  <c r="K76" i="2"/>
  <c r="Q76" i="2"/>
  <c r="E77" i="2"/>
  <c r="F77" i="2"/>
  <c r="G77" i="2"/>
  <c r="H77" i="2"/>
  <c r="I77" i="2"/>
  <c r="K77" i="2"/>
  <c r="P77" i="2"/>
  <c r="R77" i="2" s="1"/>
  <c r="Q77" i="2"/>
  <c r="E78" i="2"/>
  <c r="F78" i="2"/>
  <c r="G78" i="2"/>
  <c r="H78" i="2"/>
  <c r="I78" i="2"/>
  <c r="K78" i="2"/>
  <c r="P78" i="2"/>
  <c r="R78" i="2" s="1"/>
  <c r="Q78" i="2"/>
  <c r="E79" i="2"/>
  <c r="F79" i="2"/>
  <c r="G79" i="2"/>
  <c r="H79" i="2"/>
  <c r="I79" i="2"/>
  <c r="K79" i="2"/>
  <c r="P79" i="2"/>
  <c r="Q79" i="2"/>
  <c r="E80" i="2"/>
  <c r="F80" i="2"/>
  <c r="G80" i="2"/>
  <c r="H80" i="2"/>
  <c r="I80" i="2"/>
  <c r="K80" i="2"/>
  <c r="P80" i="2"/>
  <c r="R80" i="2" s="1"/>
  <c r="Q80" i="2"/>
  <c r="E81" i="2"/>
  <c r="F81" i="2"/>
  <c r="G81" i="2"/>
  <c r="H81" i="2"/>
  <c r="I81" i="2"/>
  <c r="K81" i="2"/>
  <c r="P81" i="2"/>
  <c r="R81" i="2" s="1"/>
  <c r="S81" i="2" s="1"/>
  <c r="Q81" i="2"/>
  <c r="E82" i="2"/>
  <c r="F82" i="2"/>
  <c r="G82" i="2"/>
  <c r="H82" i="2"/>
  <c r="I82" i="2"/>
  <c r="K82" i="2"/>
  <c r="P82" i="2"/>
  <c r="R82" i="2" s="1"/>
  <c r="S82" i="2" s="1"/>
  <c r="Q82" i="2"/>
  <c r="E83" i="2"/>
  <c r="F83" i="2"/>
  <c r="G83" i="2"/>
  <c r="H83" i="2"/>
  <c r="I83" i="2"/>
  <c r="K83" i="2"/>
  <c r="P83" i="2"/>
  <c r="Q83" i="2"/>
  <c r="E84" i="2"/>
  <c r="F84" i="2"/>
  <c r="G84" i="2"/>
  <c r="H84" i="2"/>
  <c r="I84" i="2"/>
  <c r="K84" i="2"/>
  <c r="P84" i="2"/>
  <c r="Q84" i="2"/>
  <c r="R84" i="2"/>
  <c r="S84" i="2" s="1"/>
  <c r="E85" i="2"/>
  <c r="F85" i="2"/>
  <c r="G85" i="2"/>
  <c r="H85" i="2"/>
  <c r="I85" i="2"/>
  <c r="K85" i="2"/>
  <c r="P85" i="2"/>
  <c r="Q85" i="2"/>
  <c r="P66" i="2"/>
  <c r="R66" i="2" s="1"/>
  <c r="P59" i="2"/>
  <c r="R59" i="2" s="1"/>
  <c r="S59" i="2" s="1"/>
  <c r="O58" i="2"/>
  <c r="M58" i="2"/>
  <c r="P58" i="2" s="1"/>
  <c r="O56" i="2"/>
  <c r="M56" i="2"/>
  <c r="P56" i="2" s="1"/>
  <c r="R55" i="2"/>
  <c r="S55" i="2" s="1"/>
  <c r="O55" i="2"/>
  <c r="M55" i="2"/>
  <c r="O50" i="2"/>
  <c r="M50" i="2"/>
  <c r="L49" i="2"/>
  <c r="O48" i="2"/>
  <c r="M48" i="2"/>
  <c r="O47" i="2"/>
  <c r="M47" i="2"/>
  <c r="E72" i="2"/>
  <c r="F72" i="2"/>
  <c r="G72" i="2"/>
  <c r="H72" i="2"/>
  <c r="I72" i="2"/>
  <c r="K72" i="2"/>
  <c r="P72" i="2"/>
  <c r="R72" i="2" s="1"/>
  <c r="Q72" i="2"/>
  <c r="E73" i="2"/>
  <c r="F73" i="2"/>
  <c r="G73" i="2"/>
  <c r="H73" i="2"/>
  <c r="I73" i="2"/>
  <c r="K73" i="2"/>
  <c r="P73" i="2"/>
  <c r="R73" i="2" s="1"/>
  <c r="Q73" i="2"/>
  <c r="Q71" i="2"/>
  <c r="P71" i="2"/>
  <c r="R71" i="2" s="1"/>
  <c r="K71" i="2"/>
  <c r="I71" i="2"/>
  <c r="H71" i="2"/>
  <c r="G71" i="2"/>
  <c r="F71" i="2"/>
  <c r="E71" i="2"/>
  <c r="Q70" i="2"/>
  <c r="P70" i="2"/>
  <c r="R70" i="2" s="1"/>
  <c r="K70" i="2"/>
  <c r="I70" i="2"/>
  <c r="H70" i="2"/>
  <c r="G70" i="2"/>
  <c r="F70" i="2"/>
  <c r="E70" i="2"/>
  <c r="Q69" i="2"/>
  <c r="K69" i="2"/>
  <c r="I69" i="2"/>
  <c r="H69" i="2"/>
  <c r="G69" i="2"/>
  <c r="F69" i="2"/>
  <c r="E69" i="2"/>
  <c r="Q68" i="2"/>
  <c r="K68" i="2"/>
  <c r="I68" i="2"/>
  <c r="H68" i="2"/>
  <c r="G68" i="2"/>
  <c r="F68" i="2"/>
  <c r="E68" i="2"/>
  <c r="Q67" i="2"/>
  <c r="P67" i="2"/>
  <c r="K67" i="2"/>
  <c r="I67" i="2"/>
  <c r="H67" i="2"/>
  <c r="G67" i="2"/>
  <c r="F67" i="2"/>
  <c r="E67" i="2"/>
  <c r="Q66" i="2"/>
  <c r="K66" i="2"/>
  <c r="I66" i="2"/>
  <c r="H66" i="2"/>
  <c r="G66" i="2"/>
  <c r="F66" i="2"/>
  <c r="E66" i="2"/>
  <c r="Q65" i="2"/>
  <c r="P65" i="2"/>
  <c r="R65" i="2" s="1"/>
  <c r="S65" i="2" s="1"/>
  <c r="K65" i="2"/>
  <c r="I65" i="2"/>
  <c r="H65" i="2"/>
  <c r="G65" i="2"/>
  <c r="F65" i="2"/>
  <c r="E65" i="2"/>
  <c r="Q64" i="2"/>
  <c r="P64" i="2"/>
  <c r="K64" i="2"/>
  <c r="I64" i="2"/>
  <c r="H64" i="2"/>
  <c r="G64" i="2"/>
  <c r="F64" i="2"/>
  <c r="E64" i="2"/>
  <c r="Q63" i="2"/>
  <c r="P63" i="2"/>
  <c r="R63" i="2" s="1"/>
  <c r="S63" i="2" s="1"/>
  <c r="K63" i="2"/>
  <c r="I63" i="2"/>
  <c r="H63" i="2"/>
  <c r="G63" i="2"/>
  <c r="F63" i="2"/>
  <c r="E63" i="2"/>
  <c r="Q62" i="2"/>
  <c r="P62" i="2"/>
  <c r="K62" i="2"/>
  <c r="I62" i="2"/>
  <c r="H62" i="2"/>
  <c r="G62" i="2"/>
  <c r="F62" i="2"/>
  <c r="E62" i="2"/>
  <c r="Q61" i="2"/>
  <c r="P61" i="2"/>
  <c r="R61" i="2" s="1"/>
  <c r="S61" i="2" s="1"/>
  <c r="K61" i="2"/>
  <c r="I61" i="2"/>
  <c r="H61" i="2"/>
  <c r="G61" i="2"/>
  <c r="F61" i="2"/>
  <c r="E61" i="2"/>
  <c r="Q60" i="2"/>
  <c r="P60" i="2"/>
  <c r="K60" i="2"/>
  <c r="I60" i="2"/>
  <c r="H60" i="2"/>
  <c r="G60" i="2"/>
  <c r="F60" i="2"/>
  <c r="E60" i="2"/>
  <c r="Q59" i="2"/>
  <c r="K59" i="2"/>
  <c r="I59" i="2"/>
  <c r="H59" i="2"/>
  <c r="G59" i="2"/>
  <c r="F59" i="2"/>
  <c r="E59" i="2"/>
  <c r="Q58" i="2"/>
  <c r="K58" i="2"/>
  <c r="I58" i="2"/>
  <c r="H58" i="2"/>
  <c r="G58" i="2"/>
  <c r="F58" i="2"/>
  <c r="E58" i="2"/>
  <c r="Q57" i="2"/>
  <c r="P57" i="2"/>
  <c r="R57" i="2" s="1"/>
  <c r="S57" i="2" s="1"/>
  <c r="K57" i="2"/>
  <c r="I57" i="2"/>
  <c r="H57" i="2"/>
  <c r="G57" i="2"/>
  <c r="F57" i="2"/>
  <c r="E57" i="2"/>
  <c r="Q56" i="2"/>
  <c r="K56" i="2"/>
  <c r="I56" i="2"/>
  <c r="H56" i="2"/>
  <c r="G56" i="2"/>
  <c r="F56" i="2"/>
  <c r="E56" i="2"/>
  <c r="Q55" i="2"/>
  <c r="P55" i="2"/>
  <c r="K55" i="2"/>
  <c r="I55" i="2"/>
  <c r="H55" i="2"/>
  <c r="G55" i="2"/>
  <c r="F55" i="2"/>
  <c r="E55" i="2"/>
  <c r="I45" i="2"/>
  <c r="I46" i="2"/>
  <c r="I48" i="2"/>
  <c r="I49" i="2"/>
  <c r="I50" i="2"/>
  <c r="I51" i="2"/>
  <c r="I52" i="2"/>
  <c r="I53" i="2"/>
  <c r="I54" i="2"/>
  <c r="I44" i="2"/>
  <c r="O21" i="2"/>
  <c r="M21" i="2"/>
  <c r="N20" i="2"/>
  <c r="M20" i="2"/>
  <c r="O18" i="2"/>
  <c r="M18" i="2"/>
  <c r="O17" i="2"/>
  <c r="M17" i="2"/>
  <c r="O16" i="2"/>
  <c r="N16" i="2"/>
  <c r="M16" i="2"/>
  <c r="L16" i="2"/>
  <c r="O15" i="2"/>
  <c r="M15" i="2"/>
  <c r="M12" i="2"/>
  <c r="S79" i="2" l="1"/>
  <c r="R85" i="2"/>
  <c r="S85" i="2" s="1"/>
  <c r="R83" i="2"/>
  <c r="S83" i="2" s="1"/>
  <c r="R76" i="2"/>
  <c r="S76" i="2" s="1"/>
  <c r="S78" i="2"/>
  <c r="S80" i="2"/>
  <c r="S74" i="2"/>
  <c r="S77" i="2"/>
  <c r="S75" i="2"/>
  <c r="S73" i="2"/>
  <c r="S72" i="2"/>
  <c r="S71" i="2"/>
  <c r="S70" i="2"/>
  <c r="S68" i="2"/>
  <c r="S66" i="2"/>
  <c r="R64" i="2"/>
  <c r="S64" i="2" s="1"/>
  <c r="R62" i="2"/>
  <c r="S62" i="2" s="1"/>
  <c r="R60" i="2"/>
  <c r="S60" i="2" s="1"/>
  <c r="R58" i="2"/>
  <c r="S58" i="2" s="1"/>
  <c r="R56" i="2"/>
  <c r="S56" i="2" s="1"/>
  <c r="Q5" i="2"/>
  <c r="Q6" i="2"/>
  <c r="Q7" i="2"/>
  <c r="Q8" i="2"/>
  <c r="Q9" i="2"/>
  <c r="R9" i="2" s="1"/>
  <c r="S9" i="2" s="1"/>
  <c r="Q10" i="2"/>
  <c r="Q11" i="2"/>
  <c r="Q12" i="2"/>
  <c r="Q13" i="2"/>
  <c r="R13" i="2" s="1"/>
  <c r="S13" i="2" s="1"/>
  <c r="Q14" i="2"/>
  <c r="Q15" i="2"/>
  <c r="Q16" i="2"/>
  <c r="R16" i="2" s="1"/>
  <c r="S16" i="2" s="1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P5" i="2"/>
  <c r="R5" i="2" s="1"/>
  <c r="S5" i="2" s="1"/>
  <c r="P6" i="2"/>
  <c r="R6" i="2" s="1"/>
  <c r="S6" i="2" s="1"/>
  <c r="P7" i="2"/>
  <c r="P8" i="2"/>
  <c r="P9" i="2"/>
  <c r="M10" i="2"/>
  <c r="O10" i="2"/>
  <c r="L11" i="2"/>
  <c r="O11" i="2"/>
  <c r="L12" i="2"/>
  <c r="P12" i="2" s="1"/>
  <c r="R12" i="2" s="1"/>
  <c r="S12" i="2" s="1"/>
  <c r="P13" i="2"/>
  <c r="N14" i="2"/>
  <c r="O14" i="2"/>
  <c r="P14" i="2"/>
  <c r="P15" i="2"/>
  <c r="P16" i="2"/>
  <c r="P17" i="2"/>
  <c r="R17" i="2" s="1"/>
  <c r="S17" i="2" s="1"/>
  <c r="P18" i="2"/>
  <c r="R18" i="2" s="1"/>
  <c r="S18" i="2" s="1"/>
  <c r="P19" i="2"/>
  <c r="P20" i="2"/>
  <c r="P21" i="2"/>
  <c r="R21" i="2" s="1"/>
  <c r="S21" i="2" s="1"/>
  <c r="P22" i="2"/>
  <c r="R22" i="2" s="1"/>
  <c r="S22" i="2" s="1"/>
  <c r="P23" i="2"/>
  <c r="R23" i="2" s="1"/>
  <c r="S23" i="2" s="1"/>
  <c r="P24" i="2"/>
  <c r="P25" i="2"/>
  <c r="P26" i="2"/>
  <c r="P27" i="2"/>
  <c r="P28" i="2"/>
  <c r="P29" i="2"/>
  <c r="P30" i="2"/>
  <c r="P31" i="2"/>
  <c r="P32" i="2"/>
  <c r="P33" i="2"/>
  <c r="R33" i="2" s="1"/>
  <c r="S33" i="2" s="1"/>
  <c r="P34" i="2"/>
  <c r="P35" i="2"/>
  <c r="P36" i="2"/>
  <c r="P37" i="2"/>
  <c r="R37" i="2" s="1"/>
  <c r="S37" i="2" s="1"/>
  <c r="P38" i="2"/>
  <c r="P39" i="2"/>
  <c r="P40" i="2"/>
  <c r="P41" i="2"/>
  <c r="R41" i="2" s="1"/>
  <c r="S41" i="2" s="1"/>
  <c r="P42" i="2"/>
  <c r="P43" i="2"/>
  <c r="P44" i="2"/>
  <c r="P45" i="2"/>
  <c r="P46" i="2"/>
  <c r="P47" i="2"/>
  <c r="P48" i="2"/>
  <c r="P49" i="2"/>
  <c r="P50" i="2"/>
  <c r="P51" i="2"/>
  <c r="P52" i="2"/>
  <c r="P53" i="2"/>
  <c r="R53" i="2" s="1"/>
  <c r="S53" i="2" s="1"/>
  <c r="P54" i="2"/>
  <c r="R54" i="2" s="1"/>
  <c r="S54" i="2" s="1"/>
  <c r="E5" i="2"/>
  <c r="I5" i="2" s="1"/>
  <c r="F5" i="2"/>
  <c r="G5" i="2"/>
  <c r="H5" i="2"/>
  <c r="E6" i="2"/>
  <c r="F6" i="2"/>
  <c r="G6" i="2"/>
  <c r="H6" i="2"/>
  <c r="E7" i="2"/>
  <c r="F7" i="2"/>
  <c r="G7" i="2"/>
  <c r="H7" i="2"/>
  <c r="E8" i="2"/>
  <c r="F8" i="2"/>
  <c r="G8" i="2"/>
  <c r="H8" i="2"/>
  <c r="E9" i="2"/>
  <c r="I9" i="2" s="1"/>
  <c r="F9" i="2"/>
  <c r="G9" i="2"/>
  <c r="H9" i="2"/>
  <c r="E10" i="2"/>
  <c r="F10" i="2"/>
  <c r="G10" i="2"/>
  <c r="H10" i="2"/>
  <c r="E11" i="2"/>
  <c r="F11" i="2"/>
  <c r="I11" i="2" s="1"/>
  <c r="G11" i="2"/>
  <c r="H11" i="2"/>
  <c r="E12" i="2"/>
  <c r="F12" i="2"/>
  <c r="G12" i="2"/>
  <c r="H12" i="2"/>
  <c r="E13" i="2"/>
  <c r="I13" i="2" s="1"/>
  <c r="F13" i="2"/>
  <c r="G13" i="2"/>
  <c r="H13" i="2"/>
  <c r="E14" i="2"/>
  <c r="F14" i="2"/>
  <c r="G14" i="2"/>
  <c r="H14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E15" i="2"/>
  <c r="E16" i="2"/>
  <c r="E17" i="2"/>
  <c r="E18" i="2"/>
  <c r="E19" i="2"/>
  <c r="I19" i="2" s="1"/>
  <c r="E20" i="2"/>
  <c r="E21" i="2"/>
  <c r="I21" i="2" s="1"/>
  <c r="E22" i="2"/>
  <c r="I22" i="2" s="1"/>
  <c r="E23" i="2"/>
  <c r="I23" i="2" s="1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I47" i="2" s="1"/>
  <c r="E48" i="2"/>
  <c r="E49" i="2"/>
  <c r="E50" i="2"/>
  <c r="E51" i="2"/>
  <c r="E52" i="2"/>
  <c r="E53" i="2"/>
  <c r="E54" i="2"/>
  <c r="K54" i="2"/>
  <c r="K53" i="2"/>
  <c r="K52" i="2"/>
  <c r="K51" i="2"/>
  <c r="K50" i="2"/>
  <c r="K49" i="2"/>
  <c r="K48" i="2"/>
  <c r="K47" i="2"/>
  <c r="K46" i="2"/>
  <c r="K45" i="2"/>
  <c r="K44" i="2"/>
  <c r="K43" i="2"/>
  <c r="K42" i="2"/>
  <c r="K41" i="2"/>
  <c r="K40" i="2"/>
  <c r="K39" i="2"/>
  <c r="K38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20" i="2"/>
  <c r="K19" i="2"/>
  <c r="K18" i="2"/>
  <c r="K17" i="2"/>
  <c r="K16" i="2"/>
  <c r="K15" i="2"/>
  <c r="K14" i="2"/>
  <c r="K13" i="2"/>
  <c r="K12" i="2"/>
  <c r="K11" i="2"/>
  <c r="K10" i="2"/>
  <c r="K9" i="2"/>
  <c r="K8" i="2"/>
  <c r="R7" i="2"/>
  <c r="S7" i="2" s="1"/>
  <c r="K7" i="2"/>
  <c r="K6" i="2"/>
  <c r="K5" i="2"/>
  <c r="P11" i="2" l="1"/>
  <c r="R11" i="2" s="1"/>
  <c r="S11" i="2" s="1"/>
  <c r="I8" i="2"/>
  <c r="I12" i="2"/>
  <c r="P10" i="2"/>
  <c r="R10" i="2" s="1"/>
  <c r="S10" i="2" s="1"/>
  <c r="I10" i="2"/>
  <c r="R14" i="2"/>
  <c r="S14" i="2" s="1"/>
  <c r="I18" i="2"/>
  <c r="I7" i="2"/>
  <c r="I6" i="2"/>
  <c r="R45" i="2"/>
  <c r="S45" i="2" s="1"/>
  <c r="I16" i="2"/>
  <c r="I14" i="2"/>
  <c r="I17" i="2"/>
  <c r="R42" i="2"/>
  <c r="S42" i="2" s="1"/>
  <c r="R51" i="2"/>
  <c r="S51" i="2" s="1"/>
  <c r="R50" i="2"/>
  <c r="S50" i="2" s="1"/>
  <c r="R49" i="2"/>
  <c r="S49" i="2" s="1"/>
  <c r="R47" i="2"/>
  <c r="S47" i="2" s="1"/>
  <c r="R46" i="2"/>
  <c r="S46" i="2" s="1"/>
  <c r="R43" i="2"/>
  <c r="S43" i="2" s="1"/>
  <c r="R39" i="2"/>
  <c r="S39" i="2" s="1"/>
  <c r="R38" i="2"/>
  <c r="S38" i="2" s="1"/>
  <c r="R35" i="2"/>
  <c r="S35" i="2" s="1"/>
  <c r="R34" i="2"/>
  <c r="S34" i="2" s="1"/>
  <c r="R31" i="2"/>
  <c r="S31" i="2" s="1"/>
  <c r="R8" i="2"/>
  <c r="S8" i="2" s="1"/>
  <c r="R30" i="2"/>
  <c r="S30" i="2" s="1"/>
  <c r="R52" i="2"/>
  <c r="S52" i="2" s="1"/>
  <c r="R48" i="2"/>
  <c r="S48" i="2" s="1"/>
  <c r="R44" i="2"/>
  <c r="S44" i="2" s="1"/>
  <c r="R40" i="2"/>
  <c r="S40" i="2" s="1"/>
  <c r="R36" i="2"/>
  <c r="S36" i="2" s="1"/>
  <c r="R32" i="2"/>
  <c r="S32" i="2" s="1"/>
  <c r="R24" i="2"/>
  <c r="S24" i="2" s="1"/>
  <c r="R20" i="2"/>
  <c r="S20" i="2" s="1"/>
  <c r="R29" i="2"/>
  <c r="S29" i="2" s="1"/>
  <c r="R28" i="2"/>
  <c r="S28" i="2" s="1"/>
  <c r="R27" i="2"/>
  <c r="S27" i="2" s="1"/>
  <c r="R26" i="2"/>
  <c r="S26" i="2" s="1"/>
  <c r="R25" i="2"/>
  <c r="S25" i="2" s="1"/>
  <c r="E86" i="2"/>
  <c r="I20" i="2"/>
  <c r="R19" i="2"/>
  <c r="S19" i="2" s="1"/>
  <c r="F86" i="2"/>
  <c r="G86" i="2"/>
  <c r="P86" i="2"/>
  <c r="Q86" i="2"/>
  <c r="H86" i="2"/>
  <c r="I15" i="2"/>
  <c r="R15" i="2"/>
  <c r="S15" i="2" s="1"/>
  <c r="I86" i="2" l="1"/>
  <c r="R86" i="2"/>
  <c r="S86" i="2" s="1"/>
  <c r="P69" i="2"/>
  <c r="R69" i="2" l="1"/>
  <c r="S69" i="2" s="1"/>
</calcChain>
</file>

<file path=xl/sharedStrings.xml><?xml version="1.0" encoding="utf-8"?>
<sst xmlns="http://schemas.openxmlformats.org/spreadsheetml/2006/main" count="182" uniqueCount="106">
  <si>
    <t>PERHITUNGAN YIELD IKAN TUNA</t>
  </si>
  <si>
    <t>Ekspektasi per Loin (%)</t>
  </si>
  <si>
    <t>Yield Ekspektasi per Loin = Berat Ikan × 15%  |  Total Ekspektasi = Loin 1 + Loin 2 + Loin 3 + Loin 4 (60% dari berat ikan)  |  Yield Realita = Total Berat Loin ÷ Berat Ikan  |  Sel kuning = input manual.</t>
  </si>
  <si>
    <t>DATA EKSPEKTASI LOIN</t>
  </si>
  <si>
    <t>DATA REALISASI LOIN &amp; YIELD AKTUAL</t>
  </si>
  <si>
    <t>No</t>
  </si>
  <si>
    <t>Nama/Kode Ikan</t>
  </si>
  <si>
    <t>Berat Ikan (kg)</t>
  </si>
  <si>
    <t>Grade</t>
  </si>
  <si>
    <t>Ekspektasi Loin 1 (kg)</t>
  </si>
  <si>
    <t>Ekspektasi Loin 2 (kg)</t>
  </si>
  <si>
    <t>Ekspektasi Loin 3 (kg)</t>
  </si>
  <si>
    <t>Ekspektasi Loin 4 (kg)</t>
  </si>
  <si>
    <t>Total Yield Ekspektasi (kg)</t>
  </si>
  <si>
    <t>Loin 1 (kg)</t>
  </si>
  <si>
    <t>Loin 2 (kg)</t>
  </si>
  <si>
    <t>Loin 3 (kg)</t>
  </si>
  <si>
    <t>Loin 4 (kg)</t>
  </si>
  <si>
    <t>Total Berat Loin (kg)</t>
  </si>
  <si>
    <t>Yield Realita (%)</t>
  </si>
  <si>
    <t>Status</t>
  </si>
  <si>
    <t>Tuna Sirip Kuning 001</t>
  </si>
  <si>
    <t>A</t>
  </si>
  <si>
    <t>TOTAL</t>
  </si>
  <si>
    <t>Tuna Sirip Kuning 002</t>
  </si>
  <si>
    <t>B</t>
  </si>
  <si>
    <t>C</t>
  </si>
  <si>
    <t>Tuna Sirip Kuning 003</t>
  </si>
  <si>
    <t>Tuna Sirip Kuning 004</t>
  </si>
  <si>
    <t>Tuna Sirip Kuning 005</t>
  </si>
  <si>
    <t>Tuna Sirip Kuning 006</t>
  </si>
  <si>
    <t>Tuna Sirip Kuning 007</t>
  </si>
  <si>
    <t>Tuna Sirip Kuning 008</t>
  </si>
  <si>
    <t>Tuna Sirip Kuning 009</t>
  </si>
  <si>
    <t>Tuna Sirip Kuning 010</t>
  </si>
  <si>
    <t>Tuna Sirip Kuning 011</t>
  </si>
  <si>
    <t>Tuna Sirip Kuning 012</t>
  </si>
  <si>
    <t>Tuna Sirip Kuning 013</t>
  </si>
  <si>
    <t>Tuna Sirip Kuning 014</t>
  </si>
  <si>
    <t>Tuna Sirip Kuning 015</t>
  </si>
  <si>
    <t>Tuna Sirip Kuning 016</t>
  </si>
  <si>
    <t>Tuna Sirip Kuning 017</t>
  </si>
  <si>
    <t>Tuna Sirip Kuning 018</t>
  </si>
  <si>
    <t>Tuna Sirip Kuning 019</t>
  </si>
  <si>
    <t>Tuna Sirip Kuning 020</t>
  </si>
  <si>
    <t>Tuna Sirip Kuning 021</t>
  </si>
  <si>
    <t>Tuna Sirip Kuning 022</t>
  </si>
  <si>
    <t>Tuna Sirip Kuning 023</t>
  </si>
  <si>
    <t>Tuna Sirip Kuning 024</t>
  </si>
  <si>
    <t>Tuna Sirip Kuning 025</t>
  </si>
  <si>
    <t>Tuna Sirip Kuning 026</t>
  </si>
  <si>
    <t>Tuna Sirip Kuning 027</t>
  </si>
  <si>
    <t>Tuna Sirip Kuning 028</t>
  </si>
  <si>
    <t>Tuna Sirip Kuning 029</t>
  </si>
  <si>
    <t>Tuna Sirip Kuning 030</t>
  </si>
  <si>
    <t>Tuna Sirip Kuning 031</t>
  </si>
  <si>
    <t>Tuna Sirip Kuning 032</t>
  </si>
  <si>
    <t>Tuna Sirip Kuning 033</t>
  </si>
  <si>
    <t>Tuna Sirip Kuning 034</t>
  </si>
  <si>
    <t>Tuna Sirip Kuning 035</t>
  </si>
  <si>
    <t>Tuna Sirip Kuning 036</t>
  </si>
  <si>
    <t>Tuna Sirip Kuning 037</t>
  </si>
  <si>
    <t>Tuna Sirip Kuning 038</t>
  </si>
  <si>
    <t>Tuna Sirip Kuning 039</t>
  </si>
  <si>
    <t>Tuna Sirip Kuning 040</t>
  </si>
  <si>
    <t>Tuna Sirip Kuning 041</t>
  </si>
  <si>
    <t>Tuna Sirip Kuning 042</t>
  </si>
  <si>
    <t>Tuna Sirip Kuning 043</t>
  </si>
  <si>
    <t>Tuna Sirip Kuning 044</t>
  </si>
  <si>
    <t>Tuna Sirip Kuning 045</t>
  </si>
  <si>
    <t>Tuna Sirip Kuning 046</t>
  </si>
  <si>
    <t>Tuna Sirip Kuning 047</t>
  </si>
  <si>
    <t>Tuna Sirip Kuning 048</t>
  </si>
  <si>
    <t>Tuna Sirip Kuning 049</t>
  </si>
  <si>
    <t>Tuna Sirip Kuning 050</t>
  </si>
  <si>
    <t>Tuna Sirip Kuning 051</t>
  </si>
  <si>
    <t>Tuna Sirip Kuning 052</t>
  </si>
  <si>
    <t>Tuna Sirip Kuning 053</t>
  </si>
  <si>
    <t>Tuna Sirip Kuning 054</t>
  </si>
  <si>
    <t>Tuna Sirip Kuning 055</t>
  </si>
  <si>
    <t>Tuna Sirip Kuning 056</t>
  </si>
  <si>
    <t>Tuna Sirip Kuning 057</t>
  </si>
  <si>
    <t>Tuna Sirip Kuning 058</t>
  </si>
  <si>
    <t>Tuna Sirip Kuning 059</t>
  </si>
  <si>
    <t>Tuna Sirip Kuning 060</t>
  </si>
  <si>
    <t>Tuna Sirip Kuning 061</t>
  </si>
  <si>
    <t>Tuna Sirip Kuning 062</t>
  </si>
  <si>
    <t>Tuna Sirip Kuning 063</t>
  </si>
  <si>
    <t>Tuna Sirip Kuning 064</t>
  </si>
  <si>
    <t>Tuna Sirip Kuning 065</t>
  </si>
  <si>
    <t>Tuna Sirip Kuning 066</t>
  </si>
  <si>
    <t>Tuna Sirip Kuning 067</t>
  </si>
  <si>
    <t>Tuna Sirip Kuning 068</t>
  </si>
  <si>
    <t>Tuna Sirip Kuning 069</t>
  </si>
  <si>
    <t>Tuna Sirip Kuning 070</t>
  </si>
  <si>
    <t>Tuna Sirip Kuning 071</t>
  </si>
  <si>
    <t>Tuna Sirip Kuning 072</t>
  </si>
  <si>
    <t>Tuna Sirip Kuning 073</t>
  </si>
  <si>
    <t>Tuna Sirip Kuning 074</t>
  </si>
  <si>
    <t>Tuna Sirip Kuning 075</t>
  </si>
  <si>
    <t>Tuna Sirip Kuning 076</t>
  </si>
  <si>
    <t>Tuna Sirip Kuning 077</t>
  </si>
  <si>
    <t>Tuna Sirip Kuning 078</t>
  </si>
  <si>
    <t>Tuna Sirip Kuning 079</t>
  </si>
  <si>
    <t>Tuna Sirip Kuning 080</t>
  </si>
  <si>
    <t>Tuna Sirip Kuning 081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</si>
</sst>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-&quot;Rp&quot;* #,##0_-;\-&quot;Rp&quot;* #,##0_-;_-&quot;Rp&quot;* &quot;-&quot;_-;_-@_-"/>
    <numFmt numFmtId="41" formatCode="_-* #,##0_-;\-* #,##0_-;_-* &quot;-&quot;_-;_-@_-"/>
    <numFmt numFmtId="44" formatCode="_-&quot;Rp&quot;* #,##0.00_-;\-&quot;Rp&quot;* #,##0.00_-;_-&quot;Rp&quot;* &quot;-&quot;??_-;_-@_-"/>
    <numFmt numFmtId="43" formatCode="_-* #,##0.00_-;\-* #,##0.00_-;_-* &quot;-&quot;??_-;_-@_-"/>
    <numFmt numFmtId="164" formatCode="0.0%"/>
  </numFmts>
  <fonts count="19" x14ac:knownFonts="1">
    <font>
      <sz val="11"/>
      <color theme="1"/>
      <name val="Calibri"/>
    </font>
    <font>
      <sz val="10"/>
      <name val="Arial"/>
    </font>
    <font>
      <b/>
      <sz val="14"/>
      <color rgb="FFFFFFFF"/>
      <name val="Arial"/>
    </font>
    <font>
      <b/>
      <sz val="11"/>
      <name val="Arial"/>
    </font>
    <font>
      <sz val="11"/>
      <color rgb="FF0000FF"/>
      <name val="Arial"/>
    </font>
    <font>
      <b/>
      <sz val="11"/>
      <color rgb="FFFFFFFF"/>
      <name val="Arial"/>
    </font>
    <font>
      <sz val="11"/>
      <name val="Arial"/>
    </font>
    <font>
      <sz val="11"/>
      <color rgb="FF000000"/>
      <name val="Arial"/>
    </font>
    <font>
      <b/>
      <i/>
      <sz val="11"/>
      <color rgb="FF7F7F7F"/>
      <name val="Arial"/>
    </font>
    <font>
      <b/>
      <sz val="11"/>
      <color theme="1"/>
      <name val="Calibri"/>
    </font>
    <font>
      <i/>
      <sz val="10"/>
      <color rgb="FF666666"/>
      <name val="Arial"/>
    </font>
    <font>
      <i/>
      <sz val="11"/>
      <color rgb="FF666666"/>
      <name val="Calibri"/>
    </font>
    <font>
      <i/>
      <sz val="9"/>
      <color rgb="FF777777"/>
      <name val="Arial"/>
    </font>
    <font>
      <b/>
      <sz val="11"/>
      <color rgb="FFFFFFFF"/>
      <name val="Calibri"/>
    </font>
    <font>
      <sz val="11"/>
      <color rgb="FF000000"/>
      <name val="Calibri"/>
    </font>
    <font>
      <i/>
      <sz val="11"/>
      <color rgb="FF000000"/>
      <name val="Calibri"/>
    </font>
    <font>
      <b/>
      <sz val="12"/>
      <color rgb="FF000000"/>
      <name val="Arial"/>
    </font>
    <font>
      <b/>
      <sz val="11"/>
      <color rgb="FF000000"/>
      <name val="Arial"/>
    </font>
    <font>
      <sz val="11"/>
      <color rgb="FF0070C0"/>
      <name val="Arial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F00"/>
      </patternFill>
    </fill>
    <fill>
      <patternFill patternType="solid">
        <fgColor rgb="FFFFF200"/>
      </patternFill>
    </fill>
    <fill>
      <patternFill patternType="solid">
        <fgColor rgb="FF2E75B6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6">
    <xf numFmtId="0" fontId="0" fillId="0" borderId="0"/>
    <xf numFmtId="43" fontId="1" fillId="0" borderId="0" applyBorder="0" applyAlignment="0" applyProtection="0"/>
    <xf numFmtId="41" fontId="1" fillId="0" borderId="0" applyBorder="0" applyAlignment="0" applyProtection="0"/>
    <xf numFmtId="44" fontId="1" fillId="0" borderId="0" applyBorder="0" applyAlignment="0" applyProtection="0"/>
    <xf numFmtId="42" fontId="1" fillId="0" borderId="0" applyBorder="0" applyAlignment="0" applyProtection="0"/>
    <xf numFmtId="9" fontId="1" fillId="0" borderId="0" applyBorder="0" applyAlignment="0" applyProtection="0"/>
  </cellStyleXfs>
  <cellXfs count="26">
    <xf numFmtId="0" fontId="0" fillId="0" borderId="0" xfId="0"/>
    <xf numFmtId="0" fontId="3" fillId="0" borderId="0" xfId="0" applyFont="1" applyAlignment="1">
      <alignment horizontal="right" vertical="center"/>
    </xf>
    <xf numFmtId="0" fontId="12" fillId="0" borderId="0" xfId="0" applyFont="1" applyAlignment="1">
      <alignment vertical="top" wrapText="1"/>
    </xf>
    <xf numFmtId="0" fontId="5" fillId="5" borderId="1" xfId="0" applyFont="1" applyFill="1" applyBorder="1" applyAlignment="1">
      <alignment horizontal="center" vertical="center" wrapText="1"/>
    </xf>
    <xf numFmtId="0" fontId="13" fillId="5" borderId="0" xfId="0" applyFont="1" applyFill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/>
    </xf>
    <xf numFmtId="2" fontId="7" fillId="6" borderId="1" xfId="0" applyNumberFormat="1" applyFont="1" applyFill="1" applyBorder="1" applyAlignment="1">
      <alignment horizontal="center" vertical="center"/>
    </xf>
    <xf numFmtId="0" fontId="14" fillId="6" borderId="0" xfId="0" applyFont="1" applyFill="1"/>
    <xf numFmtId="0" fontId="16" fillId="6" borderId="0" xfId="0" applyFont="1" applyFill="1"/>
    <xf numFmtId="0" fontId="17" fillId="6" borderId="1" xfId="0" applyFont="1" applyFill="1" applyBorder="1" applyAlignment="1">
      <alignment horizontal="center" vertical="center" wrapText="1"/>
    </xf>
    <xf numFmtId="4" fontId="7" fillId="6" borderId="1" xfId="0" applyNumberFormat="1" applyFont="1" applyFill="1" applyBorder="1" applyAlignment="1">
      <alignment horizontal="center" vertical="center"/>
    </xf>
    <xf numFmtId="0" fontId="17" fillId="6" borderId="1" xfId="0" applyFont="1" applyFill="1" applyBorder="1"/>
    <xf numFmtId="0" fontId="18" fillId="4" borderId="1" xfId="0" applyFont="1" applyFill="1" applyBorder="1" applyAlignment="1">
      <alignment horizontal="left" vertical="center"/>
    </xf>
    <xf numFmtId="2" fontId="18" fillId="4" borderId="1" xfId="0" applyNumberFormat="1" applyFont="1" applyFill="1" applyBorder="1" applyAlignment="1">
      <alignment horizontal="center" vertical="center"/>
    </xf>
    <xf numFmtId="0" fontId="18" fillId="4" borderId="1" xfId="0" applyFont="1" applyFill="1" applyBorder="1" applyAlignment="1">
      <alignment horizontal="center" vertical="center"/>
    </xf>
    <xf numFmtId="2" fontId="14" fillId="6" borderId="0" xfId="0" applyNumberFormat="1" applyFont="1" applyFill="1" applyAlignment="1">
      <alignment horizontal="center"/>
    </xf>
    <xf numFmtId="164" fontId="14" fillId="6" borderId="0" xfId="0" applyNumberFormat="1" applyFont="1" applyFill="1" applyAlignment="1">
      <alignment horizontal="center"/>
    </xf>
    <xf numFmtId="9" fontId="4" fillId="3" borderId="1" xfId="0" applyNumberFormat="1" applyFont="1" applyFill="1" applyBorder="1" applyAlignment="1">
      <alignment horizontal="center" vertical="center"/>
    </xf>
    <xf numFmtId="9" fontId="1" fillId="0" borderId="0" xfId="5"/>
    <xf numFmtId="0" fontId="2" fillId="2" borderId="0" xfId="0" applyFont="1" applyFill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5" fillId="6" borderId="0" xfId="0" applyFont="1" applyFill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6">
    <cellStyle name="Comma" xfId="1" xr:uid="{00000000-0005-0000-0000-000000000000}"/>
    <cellStyle name="Comma [0]" xfId="2" xr:uid="{00000000-0005-0000-0000-000001000000}"/>
    <cellStyle name="Currency" xfId="3" xr:uid="{00000000-0005-0000-0000-000002000000}"/>
    <cellStyle name="Currency [0]" xfId="4" xr:uid="{00000000-0005-0000-0000-000003000000}"/>
    <cellStyle name="Normal" xfId="0" builtinId="0"/>
    <cellStyle name="Percent" xfId="5" xr:uid="{00000000-0005-0000-0000-000005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7F7F7F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86"/>
  <sheetViews>
    <sheetView tabSelected="1" topLeftCell="A30" zoomScale="79" zoomScaleNormal="79" zoomScaleSheetLayoutView="100" workbookViewId="0">
      <selection activeCell="L40" sqref="L40"/>
    </sheetView>
  </sheetViews>
  <sheetFormatPr defaultRowHeight="14.5" x14ac:dyDescent="0.35"/>
  <cols>
    <col min="1" max="1" width="17.1796875" customWidth="1"/>
    <col min="2" max="2" width="25.26953125" customWidth="1"/>
    <col min="3" max="3" width="14.54296875" bestFit="1" customWidth="1"/>
    <col min="4" max="4" width="6.54296875" bestFit="1" customWidth="1"/>
    <col min="5" max="5" width="15.81640625" bestFit="1" customWidth="1"/>
    <col min="6" max="6" width="15" hidden="1" customWidth="1"/>
    <col min="7" max="7" width="23.26953125" hidden="1" customWidth="1"/>
    <col min="8" max="8" width="15.81640625" hidden="1" customWidth="1"/>
    <col min="9" max="9" width="15.1796875" bestFit="1" customWidth="1"/>
    <col min="10" max="10" width="8" customWidth="1"/>
    <col min="11" max="11" width="25.81640625" customWidth="1"/>
    <col min="12" max="12" width="15.54296875" customWidth="1"/>
    <col min="13" max="13" width="16.26953125" customWidth="1"/>
    <col min="14" max="14" width="17.1796875" customWidth="1"/>
    <col min="15" max="15" width="10.7265625" bestFit="1" customWidth="1"/>
    <col min="16" max="16" width="13.81640625" bestFit="1" customWidth="1"/>
    <col min="17" max="17" width="12.7265625" bestFit="1" customWidth="1"/>
    <col min="18" max="18" width="14.1796875" bestFit="1" customWidth="1"/>
    <col min="19" max="19" width="21" customWidth="1"/>
  </cols>
  <sheetData>
    <row r="1" spans="1:19" ht="18" x14ac:dyDescent="0.35">
      <c r="A1" s="19" t="s">
        <v>0</v>
      </c>
      <c r="B1" s="19"/>
      <c r="C1" s="19"/>
      <c r="D1" s="19"/>
      <c r="E1" s="19"/>
      <c r="G1" s="1" t="s">
        <v>1</v>
      </c>
      <c r="H1" s="17">
        <v>0.15</v>
      </c>
      <c r="J1" s="7"/>
    </row>
    <row r="2" spans="1:19" x14ac:dyDescent="0.35">
      <c r="A2" s="20" t="s">
        <v>2</v>
      </c>
      <c r="B2" s="20"/>
      <c r="C2" s="20"/>
      <c r="D2" s="20"/>
      <c r="E2" s="20"/>
      <c r="F2" s="21"/>
      <c r="G2" s="21"/>
      <c r="H2" s="21"/>
      <c r="I2" s="21"/>
      <c r="J2" s="22"/>
      <c r="K2" s="21"/>
      <c r="L2" s="21"/>
      <c r="M2" s="21"/>
      <c r="N2" s="21"/>
      <c r="O2" s="21"/>
      <c r="P2" s="21"/>
      <c r="Q2" s="21"/>
      <c r="R2" s="21"/>
      <c r="S2" s="21"/>
    </row>
    <row r="3" spans="1:19" ht="15.5" x14ac:dyDescent="0.35">
      <c r="A3" s="23" t="s">
        <v>3</v>
      </c>
      <c r="B3" s="23"/>
      <c r="C3" s="23"/>
      <c r="D3" s="23"/>
      <c r="E3" s="23"/>
      <c r="F3" s="24"/>
      <c r="G3" s="25"/>
      <c r="H3" s="25"/>
      <c r="I3" s="25"/>
      <c r="J3" s="8"/>
      <c r="K3" s="25" t="s">
        <v>4</v>
      </c>
      <c r="L3" s="25"/>
      <c r="M3" s="25"/>
      <c r="N3" s="25"/>
      <c r="O3" s="25"/>
      <c r="P3" s="24"/>
      <c r="Q3" s="24"/>
      <c r="R3" s="24"/>
      <c r="S3" s="24"/>
    </row>
    <row r="4" spans="1:19" ht="42" x14ac:dyDescent="0.35">
      <c r="A4" s="3" t="s">
        <v>5</v>
      </c>
      <c r="B4" s="3" t="s">
        <v>6</v>
      </c>
      <c r="C4" s="3" t="s">
        <v>7</v>
      </c>
      <c r="D4" s="3" t="s">
        <v>8</v>
      </c>
      <c r="E4" s="3" t="s">
        <v>9</v>
      </c>
      <c r="F4" s="4" t="s">
        <v>10</v>
      </c>
      <c r="G4" s="3" t="s">
        <v>11</v>
      </c>
      <c r="H4" s="3" t="s">
        <v>12</v>
      </c>
      <c r="I4" s="3" t="s">
        <v>13</v>
      </c>
      <c r="J4" s="9"/>
      <c r="K4" s="3" t="s">
        <v>6</v>
      </c>
      <c r="L4" s="3" t="s">
        <v>14</v>
      </c>
      <c r="M4" s="3" t="s">
        <v>15</v>
      </c>
      <c r="N4" s="3" t="s">
        <v>16</v>
      </c>
      <c r="O4" s="3" t="s">
        <v>17</v>
      </c>
      <c r="P4" s="4" t="s">
        <v>18</v>
      </c>
      <c r="Q4" s="4" t="s">
        <v>7</v>
      </c>
      <c r="R4" s="4" t="s">
        <v>19</v>
      </c>
      <c r="S4" s="4" t="s">
        <v>20</v>
      </c>
    </row>
    <row r="5" spans="1:19" x14ac:dyDescent="0.35">
      <c r="A5" s="5">
        <v>1</v>
      </c>
      <c r="B5" s="12" t="s">
        <v>21</v>
      </c>
      <c r="C5" s="13">
        <v>52</v>
      </c>
      <c r="D5" s="14" t="s">
        <v>25</v>
      </c>
      <c r="E5" s="6">
        <f t="shared" ref="E5:I25" si="0">IF($C5="","",$C5*$H$1)</f>
        <v>7.8</v>
      </c>
      <c r="F5" s="15">
        <f t="shared" si="0"/>
        <v>7.8</v>
      </c>
      <c r="G5" s="6">
        <f t="shared" si="0"/>
        <v>7.8</v>
      </c>
      <c r="H5" s="6">
        <f t="shared" si="0"/>
        <v>7.8</v>
      </c>
      <c r="I5" s="6">
        <f t="shared" ref="I5:I23" si="1">IF(C5="","",SUM(E5:H5))</f>
        <v>31.2</v>
      </c>
      <c r="J5" s="10"/>
      <c r="K5" s="10" t="str">
        <f t="shared" ref="K5:K54" si="2">IF(B5="","",B5)</f>
        <v>Tuna Sirip Kuning 001</v>
      </c>
      <c r="L5" s="13">
        <v>6.42</v>
      </c>
      <c r="M5" s="13">
        <v>7.92</v>
      </c>
      <c r="N5" s="13">
        <v>8.24</v>
      </c>
      <c r="O5" s="13">
        <v>6.61</v>
      </c>
      <c r="P5" s="15">
        <f t="shared" ref="P5:P54" si="3">IF(COUNT(L5:O5)=0,"",SUM(L5:O5))</f>
        <v>29.189999999999998</v>
      </c>
      <c r="Q5" s="15">
        <f t="shared" ref="Q5:Q7" si="4">IF(C5="","",C5)</f>
        <v>52</v>
      </c>
      <c r="R5" s="16">
        <f t="shared" ref="R5:R23" si="5">IF(OR(P5="",Q5="",Q5=0),"",P5/Q5)</f>
        <v>0.56134615384615383</v>
      </c>
      <c r="S5" s="7" t="str">
        <f t="shared" ref="S5:S23" si="6">IF(R5="","",IF(R5&gt;=($H$1*4),"Memenuhi Target","Di Bawah Target"))</f>
        <v>Di Bawah Target</v>
      </c>
    </row>
    <row r="6" spans="1:19" x14ac:dyDescent="0.35">
      <c r="A6" s="5">
        <v>2</v>
      </c>
      <c r="B6" s="12" t="s">
        <v>24</v>
      </c>
      <c r="C6" s="13">
        <v>59</v>
      </c>
      <c r="D6" s="14" t="s">
        <v>26</v>
      </c>
      <c r="E6" s="6">
        <f>IF($C6="","",$C6*$H$1)</f>
        <v>8.85</v>
      </c>
      <c r="F6" s="15">
        <f t="shared" si="0"/>
        <v>8.85</v>
      </c>
      <c r="G6" s="6">
        <f t="shared" si="0"/>
        <v>8.85</v>
      </c>
      <c r="H6" s="6">
        <f t="shared" si="0"/>
        <v>8.85</v>
      </c>
      <c r="I6" s="6">
        <f t="shared" si="1"/>
        <v>35.4</v>
      </c>
      <c r="J6" s="10"/>
      <c r="K6" s="10" t="str">
        <f t="shared" si="2"/>
        <v>Tuna Sirip Kuning 002</v>
      </c>
      <c r="L6" s="13">
        <v>9.8699999999999992</v>
      </c>
      <c r="M6" s="13">
        <v>7.58</v>
      </c>
      <c r="N6" s="13">
        <v>9.6999999999999993</v>
      </c>
      <c r="O6" s="13">
        <v>7.49</v>
      </c>
      <c r="P6" s="15">
        <f t="shared" si="3"/>
        <v>34.64</v>
      </c>
      <c r="Q6" s="15">
        <f t="shared" si="4"/>
        <v>59</v>
      </c>
      <c r="R6" s="16">
        <f t="shared" si="5"/>
        <v>0.58711864406779657</v>
      </c>
      <c r="S6" s="7" t="str">
        <f t="shared" si="6"/>
        <v>Di Bawah Target</v>
      </c>
    </row>
    <row r="7" spans="1:19" x14ac:dyDescent="0.35">
      <c r="A7" s="5">
        <v>3</v>
      </c>
      <c r="B7" s="12" t="s">
        <v>27</v>
      </c>
      <c r="C7" s="13">
        <v>54</v>
      </c>
      <c r="D7" s="14" t="s">
        <v>26</v>
      </c>
      <c r="E7" s="6">
        <f t="shared" si="0"/>
        <v>8.1</v>
      </c>
      <c r="F7" s="15">
        <f t="shared" si="0"/>
        <v>8.1</v>
      </c>
      <c r="G7" s="6">
        <f t="shared" si="0"/>
        <v>8.1</v>
      </c>
      <c r="H7" s="6">
        <f t="shared" si="0"/>
        <v>8.1</v>
      </c>
      <c r="I7" s="6">
        <f t="shared" si="1"/>
        <v>32.4</v>
      </c>
      <c r="J7" s="10"/>
      <c r="K7" s="10" t="str">
        <f t="shared" si="2"/>
        <v>Tuna Sirip Kuning 003</v>
      </c>
      <c r="L7" s="13">
        <v>8.44</v>
      </c>
      <c r="M7" s="13">
        <v>6.67</v>
      </c>
      <c r="N7" s="13">
        <v>8.77</v>
      </c>
      <c r="O7" s="13">
        <v>6.73</v>
      </c>
      <c r="P7" s="15">
        <f t="shared" si="3"/>
        <v>30.61</v>
      </c>
      <c r="Q7" s="15">
        <f t="shared" si="4"/>
        <v>54</v>
      </c>
      <c r="R7" s="16">
        <f t="shared" si="5"/>
        <v>0.56685185185185183</v>
      </c>
      <c r="S7" s="7" t="str">
        <f t="shared" si="6"/>
        <v>Di Bawah Target</v>
      </c>
    </row>
    <row r="8" spans="1:19" x14ac:dyDescent="0.35">
      <c r="A8" s="5">
        <v>4</v>
      </c>
      <c r="B8" s="12" t="s">
        <v>28</v>
      </c>
      <c r="C8" s="13">
        <v>48</v>
      </c>
      <c r="D8" s="14" t="s">
        <v>22</v>
      </c>
      <c r="E8" s="6">
        <f t="shared" si="0"/>
        <v>7.1999999999999993</v>
      </c>
      <c r="F8" s="15">
        <f t="shared" si="0"/>
        <v>7.1999999999999993</v>
      </c>
      <c r="G8" s="6">
        <f t="shared" si="0"/>
        <v>7.1999999999999993</v>
      </c>
      <c r="H8" s="6">
        <f t="shared" si="0"/>
        <v>7.1999999999999993</v>
      </c>
      <c r="I8" s="6">
        <f t="shared" si="1"/>
        <v>28.799999999999997</v>
      </c>
      <c r="J8" s="10"/>
      <c r="K8" s="10" t="str">
        <f t="shared" si="2"/>
        <v>Tuna Sirip Kuning 004</v>
      </c>
      <c r="L8" s="13">
        <v>7.87</v>
      </c>
      <c r="M8" s="13">
        <v>6.16</v>
      </c>
      <c r="N8" s="13">
        <v>8.2100000000000009</v>
      </c>
      <c r="O8" s="13">
        <v>6</v>
      </c>
      <c r="P8" s="15">
        <f t="shared" si="3"/>
        <v>28.240000000000002</v>
      </c>
      <c r="Q8" s="15">
        <f>IF(C8="","",C8)</f>
        <v>48</v>
      </c>
      <c r="R8" s="16">
        <f t="shared" si="5"/>
        <v>0.58833333333333337</v>
      </c>
      <c r="S8" s="7" t="str">
        <f t="shared" si="6"/>
        <v>Di Bawah Target</v>
      </c>
    </row>
    <row r="9" spans="1:19" x14ac:dyDescent="0.35">
      <c r="A9" s="5">
        <v>5</v>
      </c>
      <c r="B9" s="12" t="s">
        <v>29</v>
      </c>
      <c r="C9" s="13">
        <v>36</v>
      </c>
      <c r="D9" s="14" t="s">
        <v>25</v>
      </c>
      <c r="E9" s="6">
        <f t="shared" si="0"/>
        <v>5.3999999999999995</v>
      </c>
      <c r="F9" s="15">
        <f t="shared" si="0"/>
        <v>5.3999999999999995</v>
      </c>
      <c r="G9" s="6">
        <f t="shared" si="0"/>
        <v>5.3999999999999995</v>
      </c>
      <c r="H9" s="6">
        <f t="shared" si="0"/>
        <v>5.3999999999999995</v>
      </c>
      <c r="I9" s="6">
        <f t="shared" si="1"/>
        <v>21.599999999999998</v>
      </c>
      <c r="J9" s="10"/>
      <c r="K9" s="10" t="str">
        <f t="shared" si="2"/>
        <v>Tuna Sirip Kuning 005</v>
      </c>
      <c r="L9" s="13">
        <v>6.1</v>
      </c>
      <c r="M9" s="13">
        <v>5.0999999999999996</v>
      </c>
      <c r="N9" s="13">
        <v>6.2</v>
      </c>
      <c r="O9" s="13">
        <v>4.75</v>
      </c>
      <c r="P9" s="15">
        <f t="shared" si="3"/>
        <v>22.15</v>
      </c>
      <c r="Q9" s="15">
        <f>IF(C9="","",C9)</f>
        <v>36</v>
      </c>
      <c r="R9" s="16">
        <f t="shared" si="5"/>
        <v>0.6152777777777777</v>
      </c>
      <c r="S9" s="7" t="str">
        <f t="shared" si="6"/>
        <v>Memenuhi Target</v>
      </c>
    </row>
    <row r="10" spans="1:19" x14ac:dyDescent="0.35">
      <c r="A10" s="5">
        <v>6</v>
      </c>
      <c r="B10" s="12" t="s">
        <v>30</v>
      </c>
      <c r="C10" s="13">
        <v>54</v>
      </c>
      <c r="D10" s="14" t="s">
        <v>25</v>
      </c>
      <c r="E10" s="6">
        <f t="shared" si="0"/>
        <v>8.1</v>
      </c>
      <c r="F10" s="15">
        <f t="shared" si="0"/>
        <v>8.1</v>
      </c>
      <c r="G10" s="6">
        <f t="shared" si="0"/>
        <v>8.1</v>
      </c>
      <c r="H10" s="6">
        <f t="shared" si="0"/>
        <v>8.1</v>
      </c>
      <c r="I10" s="6">
        <f t="shared" si="1"/>
        <v>32.4</v>
      </c>
      <c r="J10" s="10"/>
      <c r="K10" s="10" t="str">
        <f t="shared" si="2"/>
        <v>Tuna Sirip Kuning 006</v>
      </c>
      <c r="L10" s="13">
        <v>6.83</v>
      </c>
      <c r="M10" s="13">
        <f>5.84+3.91</f>
        <v>9.75</v>
      </c>
      <c r="N10" s="13">
        <v>7.1</v>
      </c>
      <c r="O10" s="13">
        <f>4.1+5.43</f>
        <v>9.5299999999999994</v>
      </c>
      <c r="P10" s="15">
        <f t="shared" si="3"/>
        <v>33.21</v>
      </c>
      <c r="Q10" s="15">
        <f t="shared" ref="Q10:Q54" si="7">IF(C10="","",C10)</f>
        <v>54</v>
      </c>
      <c r="R10" s="16">
        <f t="shared" si="5"/>
        <v>0.61499999999999999</v>
      </c>
      <c r="S10" s="7" t="str">
        <f t="shared" si="6"/>
        <v>Memenuhi Target</v>
      </c>
    </row>
    <row r="11" spans="1:19" x14ac:dyDescent="0.35">
      <c r="A11" s="5">
        <v>7</v>
      </c>
      <c r="B11" s="12" t="s">
        <v>31</v>
      </c>
      <c r="C11" s="13">
        <v>46</v>
      </c>
      <c r="D11" s="14" t="s">
        <v>25</v>
      </c>
      <c r="E11" s="6">
        <f t="shared" si="0"/>
        <v>6.8999999999999995</v>
      </c>
      <c r="F11" s="15">
        <f t="shared" si="0"/>
        <v>6.8999999999999995</v>
      </c>
      <c r="G11" s="6">
        <f t="shared" si="0"/>
        <v>6.8999999999999995</v>
      </c>
      <c r="H11" s="6">
        <f t="shared" si="0"/>
        <v>6.8999999999999995</v>
      </c>
      <c r="I11" s="6">
        <f t="shared" si="1"/>
        <v>27.599999999999998</v>
      </c>
      <c r="J11" s="10"/>
      <c r="K11" s="10" t="str">
        <f>IF(B11="","",B11)</f>
        <v>Tuna Sirip Kuning 007</v>
      </c>
      <c r="L11" s="13">
        <f>5.1</f>
        <v>5.0999999999999996</v>
      </c>
      <c r="M11" s="13">
        <v>6.92</v>
      </c>
      <c r="N11" s="13">
        <v>6.1</v>
      </c>
      <c r="O11" s="13">
        <f>4.62+3.9</f>
        <v>8.52</v>
      </c>
      <c r="P11" s="15">
        <f t="shared" si="3"/>
        <v>26.639999999999997</v>
      </c>
      <c r="Q11" s="15">
        <f t="shared" si="7"/>
        <v>46</v>
      </c>
      <c r="R11" s="16">
        <f t="shared" si="5"/>
        <v>0.57913043478260862</v>
      </c>
      <c r="S11" s="7" t="str">
        <f t="shared" si="6"/>
        <v>Di Bawah Target</v>
      </c>
    </row>
    <row r="12" spans="1:19" x14ac:dyDescent="0.35">
      <c r="A12" s="5">
        <v>8</v>
      </c>
      <c r="B12" s="12" t="s">
        <v>32</v>
      </c>
      <c r="C12" s="13">
        <v>62</v>
      </c>
      <c r="D12" s="14" t="s">
        <v>25</v>
      </c>
      <c r="E12" s="6">
        <f t="shared" si="0"/>
        <v>9.2999999999999989</v>
      </c>
      <c r="F12" s="15">
        <f t="shared" si="0"/>
        <v>9.2999999999999989</v>
      </c>
      <c r="G12" s="6">
        <f t="shared" si="0"/>
        <v>9.2999999999999989</v>
      </c>
      <c r="H12" s="6">
        <f t="shared" si="0"/>
        <v>9.2999999999999989</v>
      </c>
      <c r="I12" s="6">
        <f t="shared" si="1"/>
        <v>37.199999999999996</v>
      </c>
      <c r="J12" s="10"/>
      <c r="K12" s="10" t="str">
        <f t="shared" si="2"/>
        <v>Tuna Sirip Kuning 008</v>
      </c>
      <c r="L12" s="13">
        <f>4.1+4.92</f>
        <v>9.02</v>
      </c>
      <c r="M12" s="13">
        <f>5.94+5.52</f>
        <v>11.46</v>
      </c>
      <c r="N12" s="13">
        <v>9.25</v>
      </c>
      <c r="O12" s="13">
        <v>11.45</v>
      </c>
      <c r="P12" s="15">
        <f t="shared" si="3"/>
        <v>41.18</v>
      </c>
      <c r="Q12" s="15">
        <f t="shared" si="7"/>
        <v>62</v>
      </c>
      <c r="R12" s="16">
        <f t="shared" si="5"/>
        <v>0.66419354838709677</v>
      </c>
      <c r="S12" s="7" t="str">
        <f t="shared" si="6"/>
        <v>Memenuhi Target</v>
      </c>
    </row>
    <row r="13" spans="1:19" x14ac:dyDescent="0.35">
      <c r="A13" s="5">
        <v>9</v>
      </c>
      <c r="B13" s="12" t="s">
        <v>33</v>
      </c>
      <c r="C13" s="13">
        <v>52</v>
      </c>
      <c r="D13" s="14" t="s">
        <v>26</v>
      </c>
      <c r="E13" s="6">
        <f t="shared" si="0"/>
        <v>7.8</v>
      </c>
      <c r="F13" s="15">
        <f t="shared" si="0"/>
        <v>7.8</v>
      </c>
      <c r="G13" s="6">
        <f t="shared" si="0"/>
        <v>7.8</v>
      </c>
      <c r="H13" s="6">
        <f t="shared" si="0"/>
        <v>7.8</v>
      </c>
      <c r="I13" s="6">
        <f t="shared" si="1"/>
        <v>31.2</v>
      </c>
      <c r="J13" s="10"/>
      <c r="K13" s="10" t="str">
        <f t="shared" si="2"/>
        <v>Tuna Sirip Kuning 009</v>
      </c>
      <c r="L13" s="13">
        <v>7.61</v>
      </c>
      <c r="M13" s="13">
        <v>9.2100000000000009</v>
      </c>
      <c r="N13" s="13">
        <v>7.48</v>
      </c>
      <c r="O13" s="13">
        <v>9.24</v>
      </c>
      <c r="P13" s="15">
        <f t="shared" si="3"/>
        <v>33.54</v>
      </c>
      <c r="Q13" s="15">
        <f t="shared" si="7"/>
        <v>52</v>
      </c>
      <c r="R13" s="16">
        <f t="shared" si="5"/>
        <v>0.64500000000000002</v>
      </c>
      <c r="S13" s="7" t="str">
        <f t="shared" si="6"/>
        <v>Memenuhi Target</v>
      </c>
    </row>
    <row r="14" spans="1:19" x14ac:dyDescent="0.35">
      <c r="A14" s="5">
        <v>10</v>
      </c>
      <c r="B14" s="12" t="s">
        <v>34</v>
      </c>
      <c r="C14" s="13">
        <v>49</v>
      </c>
      <c r="D14" s="14" t="s">
        <v>26</v>
      </c>
      <c r="E14" s="6">
        <f t="shared" si="0"/>
        <v>7.35</v>
      </c>
      <c r="F14" s="15">
        <f t="shared" si="0"/>
        <v>7.35</v>
      </c>
      <c r="G14" s="6">
        <f t="shared" si="0"/>
        <v>7.35</v>
      </c>
      <c r="H14" s="6">
        <f t="shared" si="0"/>
        <v>7.35</v>
      </c>
      <c r="I14" s="6">
        <f t="shared" si="1"/>
        <v>29.4</v>
      </c>
      <c r="J14" s="10"/>
      <c r="K14" s="10" t="str">
        <f t="shared" si="2"/>
        <v>Tuna Sirip Kuning 010</v>
      </c>
      <c r="L14" s="13">
        <v>6.98</v>
      </c>
      <c r="M14" s="13">
        <v>7.32</v>
      </c>
      <c r="N14" s="13">
        <f>5.13+4.14</f>
        <v>9.27</v>
      </c>
      <c r="O14" s="13">
        <f>4.31+4.95</f>
        <v>9.26</v>
      </c>
      <c r="P14" s="15">
        <f t="shared" si="3"/>
        <v>32.83</v>
      </c>
      <c r="Q14" s="15">
        <f t="shared" si="7"/>
        <v>49</v>
      </c>
      <c r="R14" s="16">
        <f t="shared" si="5"/>
        <v>0.66999999999999993</v>
      </c>
      <c r="S14" s="7" t="str">
        <f t="shared" si="6"/>
        <v>Memenuhi Target</v>
      </c>
    </row>
    <row r="15" spans="1:19" x14ac:dyDescent="0.35">
      <c r="A15" s="5">
        <v>11</v>
      </c>
      <c r="B15" s="12" t="s">
        <v>35</v>
      </c>
      <c r="C15" s="13">
        <v>43</v>
      </c>
      <c r="D15" s="14" t="s">
        <v>26</v>
      </c>
      <c r="E15" s="6">
        <f t="shared" si="0"/>
        <v>6.45</v>
      </c>
      <c r="F15" s="15">
        <f t="shared" si="0"/>
        <v>6.45</v>
      </c>
      <c r="G15" s="6">
        <f t="shared" si="0"/>
        <v>6.45</v>
      </c>
      <c r="H15" s="6">
        <f t="shared" si="0"/>
        <v>6.45</v>
      </c>
      <c r="I15" s="6">
        <f t="shared" si="1"/>
        <v>25.8</v>
      </c>
      <c r="J15" s="10"/>
      <c r="K15" s="10" t="str">
        <f t="shared" si="2"/>
        <v>Tuna Sirip Kuning 011</v>
      </c>
      <c r="L15" s="13">
        <v>6.13</v>
      </c>
      <c r="M15" s="13">
        <f>3.48+4.8</f>
        <v>8.2799999999999994</v>
      </c>
      <c r="N15" s="13">
        <v>5.87</v>
      </c>
      <c r="O15" s="13">
        <f>4.48+3.54</f>
        <v>8.02</v>
      </c>
      <c r="P15" s="15">
        <f t="shared" si="3"/>
        <v>28.3</v>
      </c>
      <c r="Q15" s="15">
        <f t="shared" si="7"/>
        <v>43</v>
      </c>
      <c r="R15" s="16">
        <f t="shared" si="5"/>
        <v>0.6581395348837209</v>
      </c>
      <c r="S15" s="7" t="str">
        <f t="shared" si="6"/>
        <v>Memenuhi Target</v>
      </c>
    </row>
    <row r="16" spans="1:19" x14ac:dyDescent="0.35">
      <c r="A16" s="5">
        <v>12</v>
      </c>
      <c r="B16" s="12" t="s">
        <v>36</v>
      </c>
      <c r="C16" s="13">
        <v>61</v>
      </c>
      <c r="D16" s="14" t="s">
        <v>25</v>
      </c>
      <c r="E16" s="6">
        <f t="shared" si="0"/>
        <v>9.15</v>
      </c>
      <c r="F16" s="15">
        <f t="shared" si="0"/>
        <v>9.15</v>
      </c>
      <c r="G16" s="6">
        <f t="shared" si="0"/>
        <v>9.15</v>
      </c>
      <c r="H16" s="6">
        <f t="shared" si="0"/>
        <v>9.15</v>
      </c>
      <c r="I16" s="6">
        <f t="shared" si="1"/>
        <v>36.6</v>
      </c>
      <c r="J16" s="10"/>
      <c r="K16" s="10" t="str">
        <f t="shared" si="2"/>
        <v>Tuna Sirip Kuning 012</v>
      </c>
      <c r="L16" s="13">
        <f>4.32+4.12</f>
        <v>8.4400000000000013</v>
      </c>
      <c r="M16" s="13">
        <f>3.28+4.81</f>
        <v>8.09</v>
      </c>
      <c r="N16" s="13">
        <f>4.54+5.84</f>
        <v>10.379999999999999</v>
      </c>
      <c r="O16" s="13">
        <f>4.85+5.64</f>
        <v>10.489999999999998</v>
      </c>
      <c r="P16" s="15">
        <f t="shared" si="3"/>
        <v>37.4</v>
      </c>
      <c r="Q16" s="15">
        <f t="shared" si="7"/>
        <v>61</v>
      </c>
      <c r="R16" s="16">
        <f t="shared" si="5"/>
        <v>0.61311475409836058</v>
      </c>
      <c r="S16" s="7" t="str">
        <f t="shared" si="6"/>
        <v>Memenuhi Target</v>
      </c>
    </row>
    <row r="17" spans="1:19" x14ac:dyDescent="0.35">
      <c r="A17" s="5">
        <v>13</v>
      </c>
      <c r="B17" s="12" t="s">
        <v>37</v>
      </c>
      <c r="C17" s="13">
        <v>49</v>
      </c>
      <c r="D17" s="14" t="s">
        <v>25</v>
      </c>
      <c r="E17" s="6">
        <f t="shared" si="0"/>
        <v>7.35</v>
      </c>
      <c r="F17" s="15">
        <f t="shared" si="0"/>
        <v>7.35</v>
      </c>
      <c r="G17" s="6">
        <f t="shared" si="0"/>
        <v>7.35</v>
      </c>
      <c r="H17" s="6">
        <f t="shared" si="0"/>
        <v>7.35</v>
      </c>
      <c r="I17" s="6">
        <f t="shared" si="1"/>
        <v>29.4</v>
      </c>
      <c r="J17" s="10"/>
      <c r="K17" s="10" t="str">
        <f t="shared" si="2"/>
        <v>Tuna Sirip Kuning 013</v>
      </c>
      <c r="L17" s="13">
        <v>6.76</v>
      </c>
      <c r="M17" s="13">
        <f>4.76+4.12</f>
        <v>8.879999999999999</v>
      </c>
      <c r="N17" s="13">
        <v>6.72</v>
      </c>
      <c r="O17" s="13">
        <f>3.93+4.51</f>
        <v>8.44</v>
      </c>
      <c r="P17" s="15">
        <f t="shared" si="3"/>
        <v>30.799999999999997</v>
      </c>
      <c r="Q17" s="15">
        <f t="shared" si="7"/>
        <v>49</v>
      </c>
      <c r="R17" s="16">
        <f t="shared" si="5"/>
        <v>0.62857142857142856</v>
      </c>
      <c r="S17" s="7" t="str">
        <f t="shared" si="6"/>
        <v>Memenuhi Target</v>
      </c>
    </row>
    <row r="18" spans="1:19" x14ac:dyDescent="0.35">
      <c r="A18" s="5">
        <v>14</v>
      </c>
      <c r="B18" s="12" t="s">
        <v>38</v>
      </c>
      <c r="C18" s="13">
        <v>46</v>
      </c>
      <c r="D18" s="14" t="s">
        <v>25</v>
      </c>
      <c r="E18" s="6">
        <f t="shared" si="0"/>
        <v>6.8999999999999995</v>
      </c>
      <c r="F18" s="15">
        <f t="shared" si="0"/>
        <v>6.8999999999999995</v>
      </c>
      <c r="G18" s="6">
        <f t="shared" si="0"/>
        <v>6.8999999999999995</v>
      </c>
      <c r="H18" s="6">
        <f t="shared" si="0"/>
        <v>6.8999999999999995</v>
      </c>
      <c r="I18" s="6">
        <f t="shared" si="1"/>
        <v>27.599999999999998</v>
      </c>
      <c r="J18" s="10"/>
      <c r="K18" s="10" t="str">
        <f t="shared" si="2"/>
        <v>Tuna Sirip Kuning 014</v>
      </c>
      <c r="L18" s="13">
        <v>6.43</v>
      </c>
      <c r="M18" s="13">
        <f>4.56+4.54</f>
        <v>9.1</v>
      </c>
      <c r="N18" s="13">
        <v>6.49</v>
      </c>
      <c r="O18" s="13">
        <f>3.51+4.71</f>
        <v>8.2199999999999989</v>
      </c>
      <c r="P18" s="15">
        <f t="shared" si="3"/>
        <v>30.24</v>
      </c>
      <c r="Q18" s="15">
        <f t="shared" si="7"/>
        <v>46</v>
      </c>
      <c r="R18" s="16">
        <f t="shared" si="5"/>
        <v>0.657391304347826</v>
      </c>
      <c r="S18" s="7" t="str">
        <f t="shared" si="6"/>
        <v>Memenuhi Target</v>
      </c>
    </row>
    <row r="19" spans="1:19" x14ac:dyDescent="0.35">
      <c r="A19" s="5">
        <v>15</v>
      </c>
      <c r="B19" s="12" t="s">
        <v>39</v>
      </c>
      <c r="C19" s="13">
        <v>37</v>
      </c>
      <c r="D19" s="14" t="s">
        <v>25</v>
      </c>
      <c r="E19" s="6">
        <f t="shared" si="0"/>
        <v>5.55</v>
      </c>
      <c r="F19" s="15">
        <f t="shared" si="0"/>
        <v>5.55</v>
      </c>
      <c r="G19" s="6">
        <f t="shared" si="0"/>
        <v>5.55</v>
      </c>
      <c r="H19" s="6">
        <f t="shared" si="0"/>
        <v>5.55</v>
      </c>
      <c r="I19" s="6">
        <f t="shared" si="1"/>
        <v>22.2</v>
      </c>
      <c r="J19" s="10"/>
      <c r="K19" s="10" t="str">
        <f t="shared" si="2"/>
        <v>Tuna Sirip Kuning 015</v>
      </c>
      <c r="L19" s="13">
        <v>5.32</v>
      </c>
      <c r="M19" s="13">
        <v>6.76</v>
      </c>
      <c r="N19" s="13">
        <v>5.42</v>
      </c>
      <c r="O19" s="13">
        <v>6.52</v>
      </c>
      <c r="P19" s="15">
        <f t="shared" si="3"/>
        <v>24.02</v>
      </c>
      <c r="Q19" s="15">
        <f t="shared" si="7"/>
        <v>37</v>
      </c>
      <c r="R19" s="16">
        <f t="shared" si="5"/>
        <v>0.64918918918918922</v>
      </c>
      <c r="S19" s="7" t="str">
        <f t="shared" si="6"/>
        <v>Memenuhi Target</v>
      </c>
    </row>
    <row r="20" spans="1:19" x14ac:dyDescent="0.35">
      <c r="A20" s="5">
        <v>16</v>
      </c>
      <c r="B20" s="12" t="s">
        <v>40</v>
      </c>
      <c r="C20" s="13">
        <v>55</v>
      </c>
      <c r="D20" s="14" t="s">
        <v>25</v>
      </c>
      <c r="E20" s="6">
        <f t="shared" si="0"/>
        <v>8.25</v>
      </c>
      <c r="F20" s="15">
        <f t="shared" si="0"/>
        <v>8.25</v>
      </c>
      <c r="G20" s="6">
        <f t="shared" si="0"/>
        <v>8.25</v>
      </c>
      <c r="H20" s="6">
        <f t="shared" si="0"/>
        <v>8.25</v>
      </c>
      <c r="I20" s="6">
        <f t="shared" si="1"/>
        <v>33</v>
      </c>
      <c r="J20" s="10"/>
      <c r="K20" s="10" t="str">
        <f t="shared" si="2"/>
        <v>Tuna Sirip Kuning 016</v>
      </c>
      <c r="L20" s="13">
        <v>7.55</v>
      </c>
      <c r="M20" s="13">
        <f>5.37+4.01</f>
        <v>9.379999999999999</v>
      </c>
      <c r="N20" s="13">
        <f>5.07+4</f>
        <v>9.07</v>
      </c>
      <c r="O20" s="13">
        <v>7.36</v>
      </c>
      <c r="P20" s="15">
        <f t="shared" si="3"/>
        <v>33.36</v>
      </c>
      <c r="Q20" s="15">
        <f t="shared" si="7"/>
        <v>55</v>
      </c>
      <c r="R20" s="16">
        <f t="shared" si="5"/>
        <v>0.6065454545454545</v>
      </c>
      <c r="S20" s="7" t="str">
        <f t="shared" si="6"/>
        <v>Memenuhi Target</v>
      </c>
    </row>
    <row r="21" spans="1:19" x14ac:dyDescent="0.35">
      <c r="A21" s="5">
        <v>17</v>
      </c>
      <c r="B21" s="12" t="s">
        <v>41</v>
      </c>
      <c r="C21" s="13">
        <v>58</v>
      </c>
      <c r="D21" s="14" t="s">
        <v>26</v>
      </c>
      <c r="E21" s="6">
        <f t="shared" si="0"/>
        <v>8.6999999999999993</v>
      </c>
      <c r="F21" s="15">
        <f t="shared" si="0"/>
        <v>8.6999999999999993</v>
      </c>
      <c r="G21" s="6">
        <f t="shared" si="0"/>
        <v>8.6999999999999993</v>
      </c>
      <c r="H21" s="6">
        <f t="shared" si="0"/>
        <v>8.6999999999999993</v>
      </c>
      <c r="I21" s="6">
        <f t="shared" si="1"/>
        <v>34.799999999999997</v>
      </c>
      <c r="J21" s="10"/>
      <c r="K21" s="10" t="str">
        <f t="shared" si="2"/>
        <v>Tuna Sirip Kuning 017</v>
      </c>
      <c r="L21" s="13">
        <v>7.87</v>
      </c>
      <c r="M21" s="13">
        <f>6.07+3.88</f>
        <v>9.9499999999999993</v>
      </c>
      <c r="N21" s="13">
        <v>7.56</v>
      </c>
      <c r="O21" s="13">
        <f>4.2+5.84</f>
        <v>10.039999999999999</v>
      </c>
      <c r="P21" s="15">
        <f t="shared" si="3"/>
        <v>35.42</v>
      </c>
      <c r="Q21" s="15">
        <f t="shared" si="7"/>
        <v>58</v>
      </c>
      <c r="R21" s="16">
        <f t="shared" si="5"/>
        <v>0.6106896551724138</v>
      </c>
      <c r="S21" s="7" t="str">
        <f t="shared" si="6"/>
        <v>Memenuhi Target</v>
      </c>
    </row>
    <row r="22" spans="1:19" x14ac:dyDescent="0.35">
      <c r="A22" s="5">
        <v>18</v>
      </c>
      <c r="B22" s="12" t="s">
        <v>42</v>
      </c>
      <c r="C22" s="13">
        <v>27</v>
      </c>
      <c r="D22" s="14" t="s">
        <v>25</v>
      </c>
      <c r="E22" s="6">
        <f t="shared" si="0"/>
        <v>4.05</v>
      </c>
      <c r="F22" s="15">
        <f t="shared" si="0"/>
        <v>4.05</v>
      </c>
      <c r="G22" s="6">
        <f t="shared" si="0"/>
        <v>4.05</v>
      </c>
      <c r="H22" s="6">
        <f t="shared" si="0"/>
        <v>4.05</v>
      </c>
      <c r="I22" s="6">
        <f t="shared" si="1"/>
        <v>16.2</v>
      </c>
      <c r="J22" s="10"/>
      <c r="K22" s="10" t="str">
        <f t="shared" si="2"/>
        <v>Tuna Sirip Kuning 018</v>
      </c>
      <c r="L22" s="13">
        <v>3.53</v>
      </c>
      <c r="M22" s="13">
        <v>4.53</v>
      </c>
      <c r="N22" s="13">
        <v>3.65</v>
      </c>
      <c r="O22" s="13">
        <v>4.6900000000000004</v>
      </c>
      <c r="P22" s="15">
        <f t="shared" si="3"/>
        <v>16.400000000000002</v>
      </c>
      <c r="Q22" s="15">
        <f t="shared" si="7"/>
        <v>27</v>
      </c>
      <c r="R22" s="16">
        <f t="shared" si="5"/>
        <v>0.60740740740740751</v>
      </c>
      <c r="S22" s="7" t="str">
        <f t="shared" si="6"/>
        <v>Memenuhi Target</v>
      </c>
    </row>
    <row r="23" spans="1:19" x14ac:dyDescent="0.35">
      <c r="A23" s="5">
        <v>19</v>
      </c>
      <c r="B23" s="12" t="s">
        <v>43</v>
      </c>
      <c r="C23" s="13">
        <v>31</v>
      </c>
      <c r="D23" s="14" t="s">
        <v>26</v>
      </c>
      <c r="E23" s="6">
        <f t="shared" si="0"/>
        <v>4.6499999999999995</v>
      </c>
      <c r="F23" s="15">
        <f t="shared" si="0"/>
        <v>4.6499999999999995</v>
      </c>
      <c r="G23" s="6">
        <f t="shared" si="0"/>
        <v>4.6499999999999995</v>
      </c>
      <c r="H23" s="6">
        <f t="shared" si="0"/>
        <v>4.6499999999999995</v>
      </c>
      <c r="I23" s="6">
        <f t="shared" si="1"/>
        <v>18.599999999999998</v>
      </c>
      <c r="J23" s="10"/>
      <c r="K23" s="10" t="str">
        <f t="shared" si="2"/>
        <v>Tuna Sirip Kuning 019</v>
      </c>
      <c r="L23" s="13">
        <v>5.25</v>
      </c>
      <c r="M23" s="13">
        <v>4.1500000000000004</v>
      </c>
      <c r="N23" s="13">
        <v>4.25</v>
      </c>
      <c r="O23" s="13">
        <v>5.18</v>
      </c>
      <c r="P23" s="15">
        <f t="shared" si="3"/>
        <v>18.829999999999998</v>
      </c>
      <c r="Q23" s="15">
        <f t="shared" si="7"/>
        <v>31</v>
      </c>
      <c r="R23" s="16">
        <f t="shared" si="5"/>
        <v>0.60741935483870957</v>
      </c>
      <c r="S23" s="7" t="str">
        <f t="shared" si="6"/>
        <v>Memenuhi Target</v>
      </c>
    </row>
    <row r="24" spans="1:19" x14ac:dyDescent="0.35">
      <c r="A24" s="5">
        <v>20</v>
      </c>
      <c r="B24" s="12" t="s">
        <v>44</v>
      </c>
      <c r="C24" s="13">
        <v>22</v>
      </c>
      <c r="D24" s="14" t="s">
        <v>26</v>
      </c>
      <c r="E24" s="6">
        <f t="shared" si="0"/>
        <v>3.3</v>
      </c>
      <c r="F24" s="15">
        <f t="shared" si="0"/>
        <v>3.3</v>
      </c>
      <c r="G24" s="6">
        <f t="shared" si="0"/>
        <v>3.3</v>
      </c>
      <c r="H24" s="6">
        <f t="shared" si="0"/>
        <v>3.3</v>
      </c>
      <c r="I24" s="6">
        <f t="shared" si="0"/>
        <v>3.3</v>
      </c>
      <c r="J24" s="10"/>
      <c r="K24" s="10" t="str">
        <f t="shared" si="2"/>
        <v>Tuna Sirip Kuning 020</v>
      </c>
      <c r="L24" s="13">
        <v>2.92</v>
      </c>
      <c r="M24" s="13">
        <v>3.8</v>
      </c>
      <c r="N24" s="13">
        <v>2.92</v>
      </c>
      <c r="O24" s="13">
        <v>3.88</v>
      </c>
      <c r="P24" s="15">
        <f t="shared" si="3"/>
        <v>13.52</v>
      </c>
      <c r="Q24" s="15">
        <f t="shared" si="7"/>
        <v>22</v>
      </c>
      <c r="R24" s="16">
        <f t="shared" ref="R24:R25" si="8">IF(OR(P24="",Q24="",Q24=0),"",P24/Q24)</f>
        <v>0.61454545454545451</v>
      </c>
      <c r="S24" s="7" t="str">
        <f t="shared" ref="S24:S25" si="9">IF(R24="","",IF(R24&gt;=($H$1*4),"Memenuhi Target","Di Bawah Target"))</f>
        <v>Memenuhi Target</v>
      </c>
    </row>
    <row r="25" spans="1:19" x14ac:dyDescent="0.35">
      <c r="A25" s="5">
        <v>21</v>
      </c>
      <c r="B25" s="12" t="s">
        <v>45</v>
      </c>
      <c r="C25" s="13">
        <v>31</v>
      </c>
      <c r="D25" s="14" t="s">
        <v>26</v>
      </c>
      <c r="E25" s="6">
        <f t="shared" si="0"/>
        <v>4.6499999999999995</v>
      </c>
      <c r="F25" s="15">
        <f t="shared" si="0"/>
        <v>4.6499999999999995</v>
      </c>
      <c r="G25" s="6">
        <f t="shared" si="0"/>
        <v>4.6499999999999995</v>
      </c>
      <c r="H25" s="6">
        <f t="shared" si="0"/>
        <v>4.6499999999999995</v>
      </c>
      <c r="I25" s="6">
        <f t="shared" si="0"/>
        <v>4.6499999999999995</v>
      </c>
      <c r="J25" s="11"/>
      <c r="K25" s="10" t="str">
        <f t="shared" si="2"/>
        <v>Tuna Sirip Kuning 021</v>
      </c>
      <c r="L25" s="13">
        <v>4.2699999999999996</v>
      </c>
      <c r="M25" s="13">
        <v>5.48</v>
      </c>
      <c r="N25" s="13">
        <v>4.2699999999999996</v>
      </c>
      <c r="O25" s="13">
        <v>5.53</v>
      </c>
      <c r="P25" s="15">
        <f t="shared" si="3"/>
        <v>19.55</v>
      </c>
      <c r="Q25" s="15">
        <f t="shared" si="7"/>
        <v>31</v>
      </c>
      <c r="R25" s="16">
        <f t="shared" si="8"/>
        <v>0.63064516129032255</v>
      </c>
      <c r="S25" s="7" t="str">
        <f t="shared" si="9"/>
        <v>Memenuhi Target</v>
      </c>
    </row>
    <row r="26" spans="1:19" x14ac:dyDescent="0.35">
      <c r="A26" s="5">
        <v>22</v>
      </c>
      <c r="B26" s="12" t="s">
        <v>46</v>
      </c>
      <c r="C26" s="13">
        <v>22</v>
      </c>
      <c r="D26" s="14" t="s">
        <v>26</v>
      </c>
      <c r="E26" s="6">
        <f t="shared" ref="E26:I41" si="10">IF($C26="","",$C26*$H$1)</f>
        <v>3.3</v>
      </c>
      <c r="F26" s="15">
        <f t="shared" si="10"/>
        <v>3.3</v>
      </c>
      <c r="G26" s="6">
        <f t="shared" si="10"/>
        <v>3.3</v>
      </c>
      <c r="H26" s="6">
        <f t="shared" si="10"/>
        <v>3.3</v>
      </c>
      <c r="I26" s="6">
        <f t="shared" si="10"/>
        <v>3.3</v>
      </c>
      <c r="J26" s="7"/>
      <c r="K26" s="10" t="str">
        <f t="shared" si="2"/>
        <v>Tuna Sirip Kuning 022</v>
      </c>
      <c r="L26" s="13">
        <v>3.02</v>
      </c>
      <c r="M26" s="13">
        <v>3.71</v>
      </c>
      <c r="N26" s="13">
        <v>3.17</v>
      </c>
      <c r="O26" s="13">
        <v>3.9</v>
      </c>
      <c r="P26" s="15">
        <f t="shared" si="3"/>
        <v>13.8</v>
      </c>
      <c r="Q26" s="15">
        <f t="shared" si="7"/>
        <v>22</v>
      </c>
      <c r="R26" s="16">
        <f t="shared" ref="R26:R31" si="11">IF(OR(P26="",Q26="",Q26=0),"",P26/Q26)</f>
        <v>0.62727272727272732</v>
      </c>
      <c r="S26" s="7" t="str">
        <f t="shared" ref="S26:S31" si="12">IF(R26="","",IF(R26&gt;=($H$1*4),"Memenuhi Target","Di Bawah Target"))</f>
        <v>Memenuhi Target</v>
      </c>
    </row>
    <row r="27" spans="1:19" x14ac:dyDescent="0.35">
      <c r="A27" s="5">
        <v>23</v>
      </c>
      <c r="B27" s="12" t="s">
        <v>47</v>
      </c>
      <c r="C27" s="13">
        <v>28</v>
      </c>
      <c r="D27" s="14" t="s">
        <v>25</v>
      </c>
      <c r="E27" s="6">
        <f t="shared" si="10"/>
        <v>4.2</v>
      </c>
      <c r="F27" s="15">
        <f t="shared" si="10"/>
        <v>4.2</v>
      </c>
      <c r="G27" s="6">
        <f t="shared" si="10"/>
        <v>4.2</v>
      </c>
      <c r="H27" s="6">
        <f t="shared" si="10"/>
        <v>4.2</v>
      </c>
      <c r="I27" s="6">
        <f t="shared" si="10"/>
        <v>4.2</v>
      </c>
      <c r="J27" s="6"/>
      <c r="K27" s="10" t="str">
        <f t="shared" si="2"/>
        <v>Tuna Sirip Kuning 023</v>
      </c>
      <c r="L27" s="13">
        <v>3.8</v>
      </c>
      <c r="M27" s="13">
        <v>4.8899999999999997</v>
      </c>
      <c r="N27" s="13">
        <v>4.9400000000000004</v>
      </c>
      <c r="O27" s="13">
        <v>3.88</v>
      </c>
      <c r="P27" s="15">
        <f t="shared" si="3"/>
        <v>17.509999999999998</v>
      </c>
      <c r="Q27" s="15">
        <f t="shared" si="7"/>
        <v>28</v>
      </c>
      <c r="R27" s="16">
        <f t="shared" si="11"/>
        <v>0.62535714285714283</v>
      </c>
      <c r="S27" s="7" t="str">
        <f t="shared" si="12"/>
        <v>Memenuhi Target</v>
      </c>
    </row>
    <row r="28" spans="1:19" x14ac:dyDescent="0.35">
      <c r="A28" s="5">
        <v>24</v>
      </c>
      <c r="B28" s="12" t="s">
        <v>48</v>
      </c>
      <c r="C28" s="13">
        <v>30</v>
      </c>
      <c r="D28" s="14" t="s">
        <v>25</v>
      </c>
      <c r="E28" s="6">
        <f t="shared" si="10"/>
        <v>4.5</v>
      </c>
      <c r="F28" s="15">
        <f t="shared" si="10"/>
        <v>4.5</v>
      </c>
      <c r="G28" s="6">
        <f t="shared" si="10"/>
        <v>4.5</v>
      </c>
      <c r="H28">
        <f t="shared" si="10"/>
        <v>4.5</v>
      </c>
      <c r="I28" s="6">
        <f t="shared" si="10"/>
        <v>4.5</v>
      </c>
      <c r="J28" s="6"/>
      <c r="K28" s="10" t="str">
        <f t="shared" si="2"/>
        <v>Tuna Sirip Kuning 024</v>
      </c>
      <c r="L28" s="13">
        <v>4.12</v>
      </c>
      <c r="M28" s="13">
        <v>5.43</v>
      </c>
      <c r="N28" s="13">
        <v>4.09</v>
      </c>
      <c r="O28" s="13">
        <v>5.18</v>
      </c>
      <c r="P28" s="15">
        <f t="shared" si="3"/>
        <v>18.82</v>
      </c>
      <c r="Q28" s="15">
        <f t="shared" si="7"/>
        <v>30</v>
      </c>
      <c r="R28" s="16">
        <f t="shared" si="11"/>
        <v>0.6273333333333333</v>
      </c>
      <c r="S28" s="7" t="str">
        <f t="shared" si="12"/>
        <v>Memenuhi Target</v>
      </c>
    </row>
    <row r="29" spans="1:19" x14ac:dyDescent="0.35">
      <c r="A29" s="5">
        <v>25</v>
      </c>
      <c r="B29" s="12" t="s">
        <v>49</v>
      </c>
      <c r="C29" s="13">
        <v>35</v>
      </c>
      <c r="D29" s="14" t="s">
        <v>25</v>
      </c>
      <c r="E29" s="6">
        <f t="shared" si="10"/>
        <v>5.25</v>
      </c>
      <c r="F29" s="15">
        <f t="shared" si="10"/>
        <v>5.25</v>
      </c>
      <c r="G29" s="6">
        <f t="shared" si="10"/>
        <v>5.25</v>
      </c>
      <c r="H29">
        <f t="shared" si="10"/>
        <v>5.25</v>
      </c>
      <c r="I29" s="6">
        <f t="shared" si="10"/>
        <v>5.25</v>
      </c>
      <c r="J29" s="6"/>
      <c r="K29" s="10" t="str">
        <f t="shared" si="2"/>
        <v>Tuna Sirip Kuning 025</v>
      </c>
      <c r="L29" s="13">
        <v>4.53</v>
      </c>
      <c r="M29" s="13">
        <v>5.84</v>
      </c>
      <c r="N29" s="13">
        <v>4.46</v>
      </c>
      <c r="O29" s="13">
        <v>5.8</v>
      </c>
      <c r="P29" s="15">
        <f t="shared" si="3"/>
        <v>20.630000000000003</v>
      </c>
      <c r="Q29" s="15">
        <f t="shared" si="7"/>
        <v>35</v>
      </c>
      <c r="R29" s="16">
        <f t="shared" si="11"/>
        <v>0.58942857142857152</v>
      </c>
      <c r="S29" s="7" t="str">
        <f t="shared" si="12"/>
        <v>Di Bawah Target</v>
      </c>
    </row>
    <row r="30" spans="1:19" x14ac:dyDescent="0.35">
      <c r="A30" s="5">
        <v>26</v>
      </c>
      <c r="B30" s="12" t="s">
        <v>50</v>
      </c>
      <c r="C30" s="13">
        <v>45</v>
      </c>
      <c r="D30" s="14" t="s">
        <v>26</v>
      </c>
      <c r="E30" s="6">
        <f t="shared" si="10"/>
        <v>6.75</v>
      </c>
      <c r="F30" s="15">
        <f t="shared" si="10"/>
        <v>6.75</v>
      </c>
      <c r="G30" s="6">
        <f t="shared" si="10"/>
        <v>6.75</v>
      </c>
      <c r="H30">
        <f t="shared" si="10"/>
        <v>6.75</v>
      </c>
      <c r="I30" s="6">
        <f t="shared" si="10"/>
        <v>6.75</v>
      </c>
      <c r="J30" s="6"/>
      <c r="K30" s="10" t="str">
        <f t="shared" si="2"/>
        <v>Tuna Sirip Kuning 026</v>
      </c>
      <c r="L30" s="13">
        <v>6.04</v>
      </c>
      <c r="M30" s="13">
        <v>7.72</v>
      </c>
      <c r="N30" s="13">
        <v>6.16</v>
      </c>
      <c r="O30" s="13">
        <v>7.62</v>
      </c>
      <c r="P30" s="15">
        <f t="shared" si="3"/>
        <v>27.540000000000003</v>
      </c>
      <c r="Q30" s="15">
        <f t="shared" si="7"/>
        <v>45</v>
      </c>
      <c r="R30" s="16">
        <f t="shared" si="11"/>
        <v>0.6120000000000001</v>
      </c>
      <c r="S30" s="7" t="str">
        <f t="shared" si="12"/>
        <v>Memenuhi Target</v>
      </c>
    </row>
    <row r="31" spans="1:19" x14ac:dyDescent="0.35">
      <c r="A31" s="5">
        <v>27</v>
      </c>
      <c r="B31" s="12" t="s">
        <v>51</v>
      </c>
      <c r="C31" s="13">
        <v>32</v>
      </c>
      <c r="D31" s="14" t="s">
        <v>25</v>
      </c>
      <c r="E31" s="6">
        <f t="shared" si="10"/>
        <v>4.8</v>
      </c>
      <c r="F31" s="15">
        <f t="shared" si="10"/>
        <v>4.8</v>
      </c>
      <c r="G31" s="6">
        <f t="shared" si="10"/>
        <v>4.8</v>
      </c>
      <c r="H31">
        <f t="shared" si="10"/>
        <v>4.8</v>
      </c>
      <c r="I31" s="6">
        <f t="shared" si="10"/>
        <v>4.8</v>
      </c>
      <c r="J31" s="6"/>
      <c r="K31" s="10" t="str">
        <f t="shared" si="2"/>
        <v>Tuna Sirip Kuning 027</v>
      </c>
      <c r="L31" s="13">
        <v>4.3600000000000003</v>
      </c>
      <c r="M31" s="13">
        <v>5.67</v>
      </c>
      <c r="N31" s="13">
        <v>4.28</v>
      </c>
      <c r="O31" s="13">
        <v>5.51</v>
      </c>
      <c r="P31" s="15">
        <f t="shared" si="3"/>
        <v>19.82</v>
      </c>
      <c r="Q31" s="15">
        <f t="shared" si="7"/>
        <v>32</v>
      </c>
      <c r="R31" s="16">
        <f t="shared" si="11"/>
        <v>0.61937500000000001</v>
      </c>
      <c r="S31" s="7" t="str">
        <f t="shared" si="12"/>
        <v>Memenuhi Target</v>
      </c>
    </row>
    <row r="32" spans="1:19" x14ac:dyDescent="0.35">
      <c r="A32" s="5">
        <v>28</v>
      </c>
      <c r="B32" s="12" t="s">
        <v>52</v>
      </c>
      <c r="C32" s="13">
        <v>32</v>
      </c>
      <c r="D32" s="14" t="s">
        <v>26</v>
      </c>
      <c r="E32" s="6">
        <f t="shared" si="10"/>
        <v>4.8</v>
      </c>
      <c r="F32" s="15">
        <f t="shared" si="10"/>
        <v>4.8</v>
      </c>
      <c r="G32" s="6">
        <f t="shared" si="10"/>
        <v>4.8</v>
      </c>
      <c r="H32">
        <f t="shared" si="10"/>
        <v>4.8</v>
      </c>
      <c r="I32" s="6">
        <f t="shared" si="10"/>
        <v>4.8</v>
      </c>
      <c r="J32" s="6"/>
      <c r="K32" s="10" t="str">
        <f t="shared" si="2"/>
        <v>Tuna Sirip Kuning 028</v>
      </c>
      <c r="L32" s="13">
        <v>4.29</v>
      </c>
      <c r="M32" s="13">
        <v>5.46</v>
      </c>
      <c r="N32" s="13">
        <v>4.3</v>
      </c>
      <c r="O32" s="13">
        <v>5.42</v>
      </c>
      <c r="P32" s="15">
        <f t="shared" si="3"/>
        <v>19.47</v>
      </c>
      <c r="Q32" s="15">
        <f t="shared" si="7"/>
        <v>32</v>
      </c>
      <c r="R32" s="16">
        <f t="shared" ref="R32:R55" si="13">IF(OR(P32="",Q32="",Q32=0),"",P32/Q32)</f>
        <v>0.60843749999999996</v>
      </c>
      <c r="S32" s="7" t="str">
        <f t="shared" ref="S32:S55" si="14">IF(R32="","",IF(R32&gt;=($H$1*4),"Memenuhi Target","Di Bawah Target"))</f>
        <v>Memenuhi Target</v>
      </c>
    </row>
    <row r="33" spans="1:19" x14ac:dyDescent="0.35">
      <c r="A33" s="5">
        <v>29</v>
      </c>
      <c r="B33" s="12" t="s">
        <v>53</v>
      </c>
      <c r="C33" s="13">
        <v>34</v>
      </c>
      <c r="D33" s="14" t="s">
        <v>26</v>
      </c>
      <c r="E33" s="6">
        <f t="shared" si="10"/>
        <v>5.0999999999999996</v>
      </c>
      <c r="F33" s="15">
        <f t="shared" si="10"/>
        <v>5.0999999999999996</v>
      </c>
      <c r="G33" s="6">
        <f t="shared" si="10"/>
        <v>5.0999999999999996</v>
      </c>
      <c r="H33">
        <f t="shared" si="10"/>
        <v>5.0999999999999996</v>
      </c>
      <c r="I33" s="6">
        <f t="shared" si="10"/>
        <v>5.0999999999999996</v>
      </c>
      <c r="J33" s="6"/>
      <c r="K33" s="10" t="str">
        <f t="shared" si="2"/>
        <v>Tuna Sirip Kuning 029</v>
      </c>
      <c r="L33" s="13">
        <v>4.41</v>
      </c>
      <c r="M33" s="13">
        <v>5.77</v>
      </c>
      <c r="N33" s="13">
        <v>4.58</v>
      </c>
      <c r="O33" s="13">
        <v>5.72</v>
      </c>
      <c r="P33" s="15">
        <f t="shared" si="3"/>
        <v>20.48</v>
      </c>
      <c r="Q33" s="15">
        <f t="shared" si="7"/>
        <v>34</v>
      </c>
      <c r="R33" s="16">
        <f t="shared" si="13"/>
        <v>0.60235294117647065</v>
      </c>
      <c r="S33" s="7" t="str">
        <f t="shared" si="14"/>
        <v>Memenuhi Target</v>
      </c>
    </row>
    <row r="34" spans="1:19" x14ac:dyDescent="0.35">
      <c r="A34" s="5">
        <v>30</v>
      </c>
      <c r="B34" s="12" t="s">
        <v>54</v>
      </c>
      <c r="C34" s="13">
        <v>32</v>
      </c>
      <c r="D34" s="14" t="s">
        <v>26</v>
      </c>
      <c r="E34" s="6">
        <f t="shared" si="10"/>
        <v>4.8</v>
      </c>
      <c r="F34" s="15">
        <f t="shared" si="10"/>
        <v>4.8</v>
      </c>
      <c r="G34" s="6">
        <f t="shared" si="10"/>
        <v>4.8</v>
      </c>
      <c r="H34">
        <f t="shared" si="10"/>
        <v>4.8</v>
      </c>
      <c r="I34" s="6">
        <f t="shared" si="10"/>
        <v>4.8</v>
      </c>
      <c r="J34" s="6"/>
      <c r="K34" s="10" t="str">
        <f t="shared" si="2"/>
        <v>Tuna Sirip Kuning 030</v>
      </c>
      <c r="L34" s="13">
        <v>4.28</v>
      </c>
      <c r="M34" s="13">
        <v>5.46</v>
      </c>
      <c r="N34" s="13">
        <v>4.43</v>
      </c>
      <c r="O34" s="13">
        <v>5.46</v>
      </c>
      <c r="P34" s="15">
        <f t="shared" si="3"/>
        <v>19.63</v>
      </c>
      <c r="Q34" s="15">
        <f t="shared" si="7"/>
        <v>32</v>
      </c>
      <c r="R34" s="16">
        <f t="shared" si="13"/>
        <v>0.61343749999999997</v>
      </c>
      <c r="S34" s="7" t="str">
        <f t="shared" si="14"/>
        <v>Memenuhi Target</v>
      </c>
    </row>
    <row r="35" spans="1:19" x14ac:dyDescent="0.35">
      <c r="A35" s="5">
        <v>31</v>
      </c>
      <c r="B35" s="12" t="s">
        <v>55</v>
      </c>
      <c r="C35" s="13">
        <v>30</v>
      </c>
      <c r="D35" s="14" t="s">
        <v>25</v>
      </c>
      <c r="E35" s="6">
        <f t="shared" si="10"/>
        <v>4.5</v>
      </c>
      <c r="F35" s="15">
        <f t="shared" si="10"/>
        <v>4.5</v>
      </c>
      <c r="G35" s="6">
        <f t="shared" si="10"/>
        <v>4.5</v>
      </c>
      <c r="H35">
        <f t="shared" si="10"/>
        <v>4.5</v>
      </c>
      <c r="I35" s="6">
        <f t="shared" si="10"/>
        <v>4.5</v>
      </c>
      <c r="J35" s="6"/>
      <c r="K35" s="10" t="str">
        <f t="shared" si="2"/>
        <v>Tuna Sirip Kuning 031</v>
      </c>
      <c r="L35" s="13">
        <v>3.82</v>
      </c>
      <c r="M35" s="13">
        <v>4.8899999999999997</v>
      </c>
      <c r="N35" s="13">
        <v>3.76</v>
      </c>
      <c r="O35" s="13">
        <v>4.8600000000000003</v>
      </c>
      <c r="P35" s="15">
        <f t="shared" si="3"/>
        <v>17.329999999999998</v>
      </c>
      <c r="Q35" s="15">
        <f t="shared" si="7"/>
        <v>30</v>
      </c>
      <c r="R35" s="16">
        <f t="shared" si="13"/>
        <v>0.57766666666666666</v>
      </c>
      <c r="S35" s="7" t="str">
        <f t="shared" si="14"/>
        <v>Di Bawah Target</v>
      </c>
    </row>
    <row r="36" spans="1:19" x14ac:dyDescent="0.35">
      <c r="A36" s="5">
        <v>32</v>
      </c>
      <c r="B36" s="12" t="s">
        <v>56</v>
      </c>
      <c r="C36" s="13">
        <v>34</v>
      </c>
      <c r="D36" s="14" t="s">
        <v>26</v>
      </c>
      <c r="E36" s="6">
        <f t="shared" si="10"/>
        <v>5.0999999999999996</v>
      </c>
      <c r="F36" s="15">
        <f t="shared" si="10"/>
        <v>5.0999999999999996</v>
      </c>
      <c r="G36" s="6">
        <f t="shared" si="10"/>
        <v>5.0999999999999996</v>
      </c>
      <c r="H36">
        <f t="shared" si="10"/>
        <v>5.0999999999999996</v>
      </c>
      <c r="I36" s="6">
        <f t="shared" si="10"/>
        <v>5.0999999999999996</v>
      </c>
      <c r="J36" s="6"/>
      <c r="K36" s="10" t="str">
        <f t="shared" si="2"/>
        <v>Tuna Sirip Kuning 032</v>
      </c>
      <c r="L36" s="13">
        <v>4.4800000000000004</v>
      </c>
      <c r="M36" s="13">
        <v>5.66</v>
      </c>
      <c r="N36" s="13">
        <v>4.51</v>
      </c>
      <c r="O36" s="13">
        <v>5.78</v>
      </c>
      <c r="P36" s="15">
        <f t="shared" si="3"/>
        <v>20.43</v>
      </c>
      <c r="Q36" s="15">
        <f t="shared" si="7"/>
        <v>34</v>
      </c>
      <c r="R36" s="16">
        <f t="shared" si="13"/>
        <v>0.60088235294117642</v>
      </c>
      <c r="S36" s="7" t="str">
        <f t="shared" si="14"/>
        <v>Memenuhi Target</v>
      </c>
    </row>
    <row r="37" spans="1:19" x14ac:dyDescent="0.35">
      <c r="A37" s="5">
        <v>33</v>
      </c>
      <c r="B37" s="12" t="s">
        <v>57</v>
      </c>
      <c r="C37" s="13">
        <v>34</v>
      </c>
      <c r="D37" s="14" t="s">
        <v>26</v>
      </c>
      <c r="E37" s="6">
        <f t="shared" si="10"/>
        <v>5.0999999999999996</v>
      </c>
      <c r="F37" s="15">
        <f t="shared" si="10"/>
        <v>5.0999999999999996</v>
      </c>
      <c r="G37" s="6">
        <f t="shared" si="10"/>
        <v>5.0999999999999996</v>
      </c>
      <c r="H37">
        <f t="shared" si="10"/>
        <v>5.0999999999999996</v>
      </c>
      <c r="I37" s="6">
        <f t="shared" si="10"/>
        <v>5.0999999999999996</v>
      </c>
      <c r="J37" s="6"/>
      <c r="K37" s="10" t="str">
        <f t="shared" si="2"/>
        <v>Tuna Sirip Kuning 033</v>
      </c>
      <c r="L37" s="13">
        <v>4.28</v>
      </c>
      <c r="M37" s="13">
        <v>4.3099999999999996</v>
      </c>
      <c r="N37" s="13">
        <v>5.54</v>
      </c>
      <c r="O37" s="13">
        <v>5.55</v>
      </c>
      <c r="P37" s="15">
        <f t="shared" si="3"/>
        <v>19.68</v>
      </c>
      <c r="Q37" s="15">
        <f t="shared" si="7"/>
        <v>34</v>
      </c>
      <c r="R37" s="16">
        <f t="shared" si="13"/>
        <v>0.57882352941176474</v>
      </c>
      <c r="S37" s="7" t="str">
        <f t="shared" si="14"/>
        <v>Di Bawah Target</v>
      </c>
    </row>
    <row r="38" spans="1:19" x14ac:dyDescent="0.35">
      <c r="A38" s="5">
        <v>34</v>
      </c>
      <c r="B38" s="12" t="s">
        <v>58</v>
      </c>
      <c r="C38" s="13">
        <v>36</v>
      </c>
      <c r="D38" s="14" t="s">
        <v>26</v>
      </c>
      <c r="E38" s="6">
        <f t="shared" si="10"/>
        <v>5.3999999999999995</v>
      </c>
      <c r="F38" s="15">
        <f t="shared" si="10"/>
        <v>5.3999999999999995</v>
      </c>
      <c r="G38" s="6">
        <f t="shared" si="10"/>
        <v>5.3999999999999995</v>
      </c>
      <c r="H38">
        <f t="shared" si="10"/>
        <v>5.3999999999999995</v>
      </c>
      <c r="I38" s="6">
        <f t="shared" si="10"/>
        <v>5.3999999999999995</v>
      </c>
      <c r="J38" s="6"/>
      <c r="K38" s="10" t="str">
        <f t="shared" si="2"/>
        <v>Tuna Sirip Kuning 034</v>
      </c>
      <c r="L38" s="13">
        <v>4.8499999999999996</v>
      </c>
      <c r="M38" s="13">
        <v>6.17</v>
      </c>
      <c r="N38" s="13">
        <v>4.51</v>
      </c>
      <c r="O38" s="13">
        <v>5.86</v>
      </c>
      <c r="P38" s="15">
        <f t="shared" si="3"/>
        <v>21.39</v>
      </c>
      <c r="Q38" s="15">
        <f t="shared" si="7"/>
        <v>36</v>
      </c>
      <c r="R38" s="16">
        <f t="shared" si="13"/>
        <v>0.59416666666666673</v>
      </c>
      <c r="S38" s="7" t="str">
        <f t="shared" si="14"/>
        <v>Di Bawah Target</v>
      </c>
    </row>
    <row r="39" spans="1:19" x14ac:dyDescent="0.35">
      <c r="A39" s="5">
        <v>35</v>
      </c>
      <c r="B39" s="12" t="s">
        <v>59</v>
      </c>
      <c r="C39" s="13">
        <v>21</v>
      </c>
      <c r="D39" s="14" t="s">
        <v>26</v>
      </c>
      <c r="E39" s="6">
        <f t="shared" si="10"/>
        <v>3.15</v>
      </c>
      <c r="F39" s="15">
        <f t="shared" si="10"/>
        <v>3.15</v>
      </c>
      <c r="G39" s="6">
        <f t="shared" si="10"/>
        <v>3.15</v>
      </c>
      <c r="H39">
        <f t="shared" si="10"/>
        <v>3.15</v>
      </c>
      <c r="I39" s="6">
        <f t="shared" si="10"/>
        <v>3.15</v>
      </c>
      <c r="J39" s="6"/>
      <c r="K39" s="10" t="str">
        <f t="shared" si="2"/>
        <v>Tuna Sirip Kuning 035</v>
      </c>
      <c r="L39" s="13">
        <v>2.71</v>
      </c>
      <c r="M39" s="13">
        <v>3.77</v>
      </c>
      <c r="N39" s="13">
        <v>2.78</v>
      </c>
      <c r="O39" s="13">
        <v>2.67</v>
      </c>
      <c r="P39" s="15">
        <f t="shared" si="3"/>
        <v>11.93</v>
      </c>
      <c r="Q39" s="15">
        <f t="shared" si="7"/>
        <v>21</v>
      </c>
      <c r="R39" s="16">
        <f t="shared" si="13"/>
        <v>0.5680952380952381</v>
      </c>
      <c r="S39" s="7" t="str">
        <f t="shared" si="14"/>
        <v>Di Bawah Target</v>
      </c>
    </row>
    <row r="40" spans="1:19" x14ac:dyDescent="0.35">
      <c r="A40" s="5">
        <v>36</v>
      </c>
      <c r="B40" s="12" t="s">
        <v>60</v>
      </c>
      <c r="C40" s="13">
        <v>27</v>
      </c>
      <c r="D40" s="14" t="s">
        <v>25</v>
      </c>
      <c r="E40" s="6">
        <f t="shared" si="10"/>
        <v>4.05</v>
      </c>
      <c r="F40" s="15">
        <f t="shared" si="10"/>
        <v>4.05</v>
      </c>
      <c r="G40" s="6">
        <f t="shared" si="10"/>
        <v>4.05</v>
      </c>
      <c r="H40">
        <f t="shared" si="10"/>
        <v>4.05</v>
      </c>
      <c r="I40" s="6">
        <f t="shared" si="10"/>
        <v>4.05</v>
      </c>
      <c r="J40" s="6"/>
      <c r="K40" s="10" t="str">
        <f t="shared" si="2"/>
        <v>Tuna Sirip Kuning 036</v>
      </c>
      <c r="L40" s="13">
        <v>3.5</v>
      </c>
      <c r="M40" s="13">
        <v>4.5</v>
      </c>
      <c r="N40" s="13">
        <v>3.65</v>
      </c>
      <c r="O40" s="13">
        <v>4.87</v>
      </c>
      <c r="P40" s="15">
        <f t="shared" si="3"/>
        <v>16.52</v>
      </c>
      <c r="Q40" s="15">
        <f t="shared" si="7"/>
        <v>27</v>
      </c>
      <c r="R40" s="16">
        <f t="shared" si="13"/>
        <v>0.61185185185185187</v>
      </c>
      <c r="S40" s="7" t="str">
        <f t="shared" si="14"/>
        <v>Memenuhi Target</v>
      </c>
    </row>
    <row r="41" spans="1:19" x14ac:dyDescent="0.35">
      <c r="A41" s="5">
        <v>37</v>
      </c>
      <c r="B41" s="12" t="s">
        <v>61</v>
      </c>
      <c r="C41" s="13">
        <v>21</v>
      </c>
      <c r="D41" s="14" t="s">
        <v>25</v>
      </c>
      <c r="E41" s="6">
        <f t="shared" si="10"/>
        <v>3.15</v>
      </c>
      <c r="F41" s="15">
        <f t="shared" si="10"/>
        <v>3.15</v>
      </c>
      <c r="G41" s="6">
        <f t="shared" si="10"/>
        <v>3.15</v>
      </c>
      <c r="H41">
        <f t="shared" si="10"/>
        <v>3.15</v>
      </c>
      <c r="I41" s="6">
        <f t="shared" si="10"/>
        <v>3.15</v>
      </c>
      <c r="J41" s="6"/>
      <c r="K41" s="10" t="str">
        <f t="shared" si="2"/>
        <v>Tuna Sirip Kuning 037</v>
      </c>
      <c r="L41" s="13">
        <v>2.8</v>
      </c>
      <c r="M41" s="13">
        <v>3.6</v>
      </c>
      <c r="N41" s="13">
        <v>2.82</v>
      </c>
      <c r="O41" s="13">
        <v>3.74</v>
      </c>
      <c r="P41" s="15">
        <f t="shared" si="3"/>
        <v>12.96</v>
      </c>
      <c r="Q41" s="15">
        <f t="shared" si="7"/>
        <v>21</v>
      </c>
      <c r="R41" s="16">
        <f t="shared" si="13"/>
        <v>0.61714285714285722</v>
      </c>
      <c r="S41" s="7" t="str">
        <f t="shared" si="14"/>
        <v>Memenuhi Target</v>
      </c>
    </row>
    <row r="42" spans="1:19" x14ac:dyDescent="0.35">
      <c r="A42" s="5">
        <v>38</v>
      </c>
      <c r="B42" s="12" t="s">
        <v>62</v>
      </c>
      <c r="C42" s="13">
        <v>29</v>
      </c>
      <c r="D42" s="14" t="s">
        <v>26</v>
      </c>
      <c r="E42" s="6">
        <f t="shared" ref="E42:I57" si="15">IF($C42="","",$C42*$H$1)</f>
        <v>4.3499999999999996</v>
      </c>
      <c r="F42" s="15">
        <f t="shared" si="15"/>
        <v>4.3499999999999996</v>
      </c>
      <c r="G42" s="6">
        <f t="shared" si="15"/>
        <v>4.3499999999999996</v>
      </c>
      <c r="H42">
        <f t="shared" si="15"/>
        <v>4.3499999999999996</v>
      </c>
      <c r="I42" s="6">
        <f t="shared" si="15"/>
        <v>4.3499999999999996</v>
      </c>
      <c r="J42" s="6"/>
      <c r="K42" s="10" t="str">
        <f t="shared" si="2"/>
        <v>Tuna Sirip Kuning 038</v>
      </c>
      <c r="L42" s="13">
        <v>4.26</v>
      </c>
      <c r="M42" s="13">
        <v>5.54</v>
      </c>
      <c r="N42" s="13">
        <v>4.1500000000000004</v>
      </c>
      <c r="O42" s="13">
        <v>5.2</v>
      </c>
      <c r="P42" s="15">
        <f t="shared" si="3"/>
        <v>19.150000000000002</v>
      </c>
      <c r="Q42" s="15">
        <f t="shared" si="7"/>
        <v>29</v>
      </c>
      <c r="R42" s="16">
        <f t="shared" si="13"/>
        <v>0.66034482758620694</v>
      </c>
      <c r="S42" s="7" t="str">
        <f t="shared" si="14"/>
        <v>Memenuhi Target</v>
      </c>
    </row>
    <row r="43" spans="1:19" x14ac:dyDescent="0.35">
      <c r="A43" s="5">
        <v>39</v>
      </c>
      <c r="B43" s="12" t="s">
        <v>63</v>
      </c>
      <c r="C43" s="13">
        <v>30</v>
      </c>
      <c r="D43" s="14" t="s">
        <v>25</v>
      </c>
      <c r="E43" s="6">
        <f t="shared" si="15"/>
        <v>4.5</v>
      </c>
      <c r="F43" s="15">
        <f t="shared" si="15"/>
        <v>4.5</v>
      </c>
      <c r="G43" s="6">
        <f t="shared" si="15"/>
        <v>4.5</v>
      </c>
      <c r="H43" s="2">
        <f t="shared" si="15"/>
        <v>4.5</v>
      </c>
      <c r="I43" s="6">
        <f t="shared" si="15"/>
        <v>4.5</v>
      </c>
      <c r="J43" s="6"/>
      <c r="K43" s="10" t="str">
        <f t="shared" si="2"/>
        <v>Tuna Sirip Kuning 039</v>
      </c>
      <c r="L43" s="13">
        <v>4.0199999999999996</v>
      </c>
      <c r="M43" s="13">
        <v>5.12</v>
      </c>
      <c r="N43" s="13">
        <v>4.0599999999999996</v>
      </c>
      <c r="O43" s="13">
        <v>5.16</v>
      </c>
      <c r="P43" s="15">
        <f t="shared" si="3"/>
        <v>18.36</v>
      </c>
      <c r="Q43" s="15">
        <f t="shared" si="7"/>
        <v>30</v>
      </c>
      <c r="R43" s="16">
        <f t="shared" si="13"/>
        <v>0.61199999999999999</v>
      </c>
      <c r="S43" s="7" t="str">
        <f t="shared" si="14"/>
        <v>Memenuhi Target</v>
      </c>
    </row>
    <row r="44" spans="1:19" x14ac:dyDescent="0.35">
      <c r="A44" s="5">
        <v>40</v>
      </c>
      <c r="B44" s="12" t="s">
        <v>64</v>
      </c>
      <c r="C44" s="13">
        <v>29</v>
      </c>
      <c r="D44" s="14" t="s">
        <v>26</v>
      </c>
      <c r="E44" s="6">
        <f t="shared" si="15"/>
        <v>4.3499999999999996</v>
      </c>
      <c r="F44" s="15">
        <f t="shared" si="15"/>
        <v>4.3499999999999996</v>
      </c>
      <c r="G44" s="6">
        <f t="shared" si="15"/>
        <v>4.3499999999999996</v>
      </c>
      <c r="H44">
        <f t="shared" si="15"/>
        <v>4.3499999999999996</v>
      </c>
      <c r="I44" s="6">
        <f t="shared" si="15"/>
        <v>4.3499999999999996</v>
      </c>
      <c r="K44" s="10" t="str">
        <f t="shared" si="2"/>
        <v>Tuna Sirip Kuning 040</v>
      </c>
      <c r="L44" s="13">
        <v>3.83</v>
      </c>
      <c r="M44" s="13">
        <v>5.19</v>
      </c>
      <c r="N44" s="13">
        <v>3.82</v>
      </c>
      <c r="O44" s="13">
        <v>5.0199999999999996</v>
      </c>
      <c r="P44" s="15">
        <f t="shared" si="3"/>
        <v>17.86</v>
      </c>
      <c r="Q44" s="15">
        <f t="shared" si="7"/>
        <v>29</v>
      </c>
      <c r="R44" s="16">
        <f t="shared" si="13"/>
        <v>0.61586206896551721</v>
      </c>
      <c r="S44" s="7" t="str">
        <f t="shared" si="14"/>
        <v>Memenuhi Target</v>
      </c>
    </row>
    <row r="45" spans="1:19" x14ac:dyDescent="0.35">
      <c r="A45" s="5">
        <v>41</v>
      </c>
      <c r="B45" s="12" t="s">
        <v>65</v>
      </c>
      <c r="C45" s="13">
        <v>27</v>
      </c>
      <c r="D45" s="14" t="s">
        <v>26</v>
      </c>
      <c r="E45" s="6">
        <f t="shared" si="15"/>
        <v>4.05</v>
      </c>
      <c r="F45" s="15">
        <f t="shared" si="15"/>
        <v>4.05</v>
      </c>
      <c r="G45" s="6">
        <f t="shared" si="15"/>
        <v>4.05</v>
      </c>
      <c r="H45">
        <f t="shared" si="15"/>
        <v>4.05</v>
      </c>
      <c r="I45" s="6">
        <f t="shared" si="15"/>
        <v>4.05</v>
      </c>
      <c r="K45" s="10" t="str">
        <f t="shared" si="2"/>
        <v>Tuna Sirip Kuning 041</v>
      </c>
      <c r="L45" s="13">
        <v>5.63</v>
      </c>
      <c r="M45" s="13">
        <v>4.71</v>
      </c>
      <c r="N45" s="13">
        <v>3.59</v>
      </c>
      <c r="O45" s="13">
        <v>4.58</v>
      </c>
      <c r="P45" s="15">
        <f t="shared" si="3"/>
        <v>18.509999999999998</v>
      </c>
      <c r="Q45" s="15">
        <f t="shared" si="7"/>
        <v>27</v>
      </c>
      <c r="R45" s="16">
        <f t="shared" si="13"/>
        <v>0.68555555555555547</v>
      </c>
      <c r="S45" s="7" t="str">
        <f t="shared" si="14"/>
        <v>Memenuhi Target</v>
      </c>
    </row>
    <row r="46" spans="1:19" x14ac:dyDescent="0.35">
      <c r="A46" s="5">
        <v>42</v>
      </c>
      <c r="B46" s="12" t="s">
        <v>66</v>
      </c>
      <c r="C46" s="13">
        <v>30</v>
      </c>
      <c r="D46" s="14" t="s">
        <v>25</v>
      </c>
      <c r="E46" s="6">
        <f t="shared" si="15"/>
        <v>4.5</v>
      </c>
      <c r="F46" s="15">
        <f t="shared" si="15"/>
        <v>4.5</v>
      </c>
      <c r="G46" s="6">
        <f t="shared" si="15"/>
        <v>4.5</v>
      </c>
      <c r="H46">
        <f t="shared" si="15"/>
        <v>4.5</v>
      </c>
      <c r="I46" s="6">
        <f t="shared" si="15"/>
        <v>4.5</v>
      </c>
      <c r="K46" s="10" t="str">
        <f t="shared" si="2"/>
        <v>Tuna Sirip Kuning 042</v>
      </c>
      <c r="L46" s="13">
        <v>4.1900000000000004</v>
      </c>
      <c r="M46" s="13">
        <v>5.58</v>
      </c>
      <c r="N46" s="13">
        <v>5.65</v>
      </c>
      <c r="O46" s="13">
        <v>4.26</v>
      </c>
      <c r="P46" s="15">
        <f t="shared" si="3"/>
        <v>19.68</v>
      </c>
      <c r="Q46" s="15">
        <f t="shared" si="7"/>
        <v>30</v>
      </c>
      <c r="R46" s="16">
        <f t="shared" si="13"/>
        <v>0.65600000000000003</v>
      </c>
      <c r="S46" s="7" t="str">
        <f t="shared" si="14"/>
        <v>Memenuhi Target</v>
      </c>
    </row>
    <row r="47" spans="1:19" x14ac:dyDescent="0.35">
      <c r="A47" s="5">
        <v>43</v>
      </c>
      <c r="B47" s="12" t="s">
        <v>67</v>
      </c>
      <c r="C47" s="13">
        <v>55</v>
      </c>
      <c r="D47" s="14" t="s">
        <v>26</v>
      </c>
      <c r="E47" s="6">
        <f t="shared" si="15"/>
        <v>8.25</v>
      </c>
      <c r="F47" s="15">
        <f t="shared" si="15"/>
        <v>8.25</v>
      </c>
      <c r="G47" s="6">
        <f t="shared" si="15"/>
        <v>8.25</v>
      </c>
      <c r="H47">
        <f t="shared" si="15"/>
        <v>8.25</v>
      </c>
      <c r="I47" s="6">
        <f>E47</f>
        <v>8.25</v>
      </c>
      <c r="K47" s="10" t="str">
        <f t="shared" si="2"/>
        <v>Tuna Sirip Kuning 043</v>
      </c>
      <c r="L47" s="13">
        <v>7.85</v>
      </c>
      <c r="M47" s="13">
        <f>5.78+4.13</f>
        <v>9.91</v>
      </c>
      <c r="N47" s="13">
        <v>7.47</v>
      </c>
      <c r="O47" s="13">
        <f>4.1+5.39</f>
        <v>9.4899999999999984</v>
      </c>
      <c r="P47" s="15">
        <f t="shared" si="3"/>
        <v>34.72</v>
      </c>
      <c r="Q47" s="15">
        <f t="shared" si="7"/>
        <v>55</v>
      </c>
      <c r="R47" s="16">
        <f t="shared" si="13"/>
        <v>0.63127272727272721</v>
      </c>
      <c r="S47" s="7" t="str">
        <f t="shared" si="14"/>
        <v>Memenuhi Target</v>
      </c>
    </row>
    <row r="48" spans="1:19" x14ac:dyDescent="0.35">
      <c r="A48" s="5">
        <v>44</v>
      </c>
      <c r="B48" s="12" t="s">
        <v>68</v>
      </c>
      <c r="C48" s="13">
        <v>53</v>
      </c>
      <c r="D48" s="14" t="s">
        <v>25</v>
      </c>
      <c r="E48" s="6">
        <f t="shared" si="15"/>
        <v>7.9499999999999993</v>
      </c>
      <c r="F48" s="15">
        <f t="shared" si="15"/>
        <v>7.9499999999999993</v>
      </c>
      <c r="G48" s="6">
        <f t="shared" si="15"/>
        <v>7.9499999999999993</v>
      </c>
      <c r="H48">
        <f t="shared" si="15"/>
        <v>7.9499999999999993</v>
      </c>
      <c r="I48" s="6">
        <f t="shared" si="15"/>
        <v>7.9499999999999993</v>
      </c>
      <c r="K48" s="10" t="str">
        <f t="shared" si="2"/>
        <v>Tuna Sirip Kuning 044</v>
      </c>
      <c r="L48" s="13">
        <v>6.94</v>
      </c>
      <c r="M48" s="13">
        <f>5.1+3.75</f>
        <v>8.85</v>
      </c>
      <c r="N48" s="13">
        <v>7.05</v>
      </c>
      <c r="O48" s="13">
        <f>3.75+5.15</f>
        <v>8.9</v>
      </c>
      <c r="P48" s="15">
        <f t="shared" si="3"/>
        <v>31.740000000000002</v>
      </c>
      <c r="Q48" s="15">
        <f t="shared" si="7"/>
        <v>53</v>
      </c>
      <c r="R48" s="16">
        <f t="shared" si="13"/>
        <v>0.59886792452830195</v>
      </c>
      <c r="S48" s="7" t="str">
        <f t="shared" si="14"/>
        <v>Di Bawah Target</v>
      </c>
    </row>
    <row r="49" spans="1:19" x14ac:dyDescent="0.35">
      <c r="A49" s="5">
        <v>45</v>
      </c>
      <c r="B49" s="12" t="s">
        <v>69</v>
      </c>
      <c r="C49" s="13">
        <v>32</v>
      </c>
      <c r="D49" s="14" t="s">
        <v>26</v>
      </c>
      <c r="E49" s="6">
        <f t="shared" si="15"/>
        <v>4.8</v>
      </c>
      <c r="F49" s="15">
        <f t="shared" si="15"/>
        <v>4.8</v>
      </c>
      <c r="G49" s="6">
        <f t="shared" si="15"/>
        <v>4.8</v>
      </c>
      <c r="H49">
        <f t="shared" si="15"/>
        <v>4.8</v>
      </c>
      <c r="I49" s="6">
        <f t="shared" si="15"/>
        <v>4.8</v>
      </c>
      <c r="K49" s="10" t="str">
        <f t="shared" si="2"/>
        <v>Tuna Sirip Kuning 045</v>
      </c>
      <c r="L49" s="13">
        <f>4.26</f>
        <v>4.26</v>
      </c>
      <c r="M49" s="13">
        <v>5.15</v>
      </c>
      <c r="N49" s="13">
        <v>4.32</v>
      </c>
      <c r="O49" s="13">
        <v>5.25</v>
      </c>
      <c r="P49" s="15">
        <f t="shared" si="3"/>
        <v>18.98</v>
      </c>
      <c r="Q49" s="15">
        <f t="shared" si="7"/>
        <v>32</v>
      </c>
      <c r="R49" s="16">
        <f t="shared" si="13"/>
        <v>0.59312500000000001</v>
      </c>
      <c r="S49" s="7" t="str">
        <f t="shared" si="14"/>
        <v>Di Bawah Target</v>
      </c>
    </row>
    <row r="50" spans="1:19" x14ac:dyDescent="0.35">
      <c r="A50" s="5">
        <v>46</v>
      </c>
      <c r="B50" s="12" t="s">
        <v>70</v>
      </c>
      <c r="C50" s="13">
        <v>47</v>
      </c>
      <c r="D50" s="14" t="s">
        <v>25</v>
      </c>
      <c r="E50" s="6">
        <f t="shared" si="15"/>
        <v>7.05</v>
      </c>
      <c r="F50" s="15">
        <f t="shared" si="15"/>
        <v>7.05</v>
      </c>
      <c r="G50" s="6">
        <f t="shared" si="15"/>
        <v>7.05</v>
      </c>
      <c r="H50">
        <f t="shared" si="15"/>
        <v>7.05</v>
      </c>
      <c r="I50" s="6">
        <f t="shared" si="15"/>
        <v>7.05</v>
      </c>
      <c r="K50" s="10" t="str">
        <f t="shared" si="2"/>
        <v>Tuna Sirip Kuning 046</v>
      </c>
      <c r="L50" s="13">
        <v>6.5</v>
      </c>
      <c r="M50" s="13">
        <f>4.12+4.05</f>
        <v>8.17</v>
      </c>
      <c r="N50" s="13">
        <v>6.04</v>
      </c>
      <c r="O50" s="13">
        <f>4.16+3.92</f>
        <v>8.08</v>
      </c>
      <c r="P50" s="15">
        <f t="shared" si="3"/>
        <v>28.79</v>
      </c>
      <c r="Q50" s="15">
        <f t="shared" si="7"/>
        <v>47</v>
      </c>
      <c r="R50" s="16">
        <f t="shared" si="13"/>
        <v>0.61255319148936171</v>
      </c>
      <c r="S50" s="7" t="str">
        <f t="shared" si="14"/>
        <v>Memenuhi Target</v>
      </c>
    </row>
    <row r="51" spans="1:19" x14ac:dyDescent="0.35">
      <c r="A51" s="5">
        <v>47</v>
      </c>
      <c r="B51" s="12" t="s">
        <v>71</v>
      </c>
      <c r="C51" s="13">
        <v>31</v>
      </c>
      <c r="D51" s="14" t="s">
        <v>26</v>
      </c>
      <c r="E51" s="6">
        <f t="shared" si="15"/>
        <v>4.6499999999999995</v>
      </c>
      <c r="F51" s="15">
        <f t="shared" si="15"/>
        <v>4.6499999999999995</v>
      </c>
      <c r="G51" s="6">
        <f t="shared" si="15"/>
        <v>4.6499999999999995</v>
      </c>
      <c r="H51">
        <f t="shared" si="15"/>
        <v>4.6499999999999995</v>
      </c>
      <c r="I51" s="6">
        <f t="shared" si="15"/>
        <v>4.6499999999999995</v>
      </c>
      <c r="K51" s="10" t="str">
        <f t="shared" si="2"/>
        <v>Tuna Sirip Kuning 047</v>
      </c>
      <c r="L51" s="13">
        <v>4.1500000000000004</v>
      </c>
      <c r="M51" s="13">
        <v>5.32</v>
      </c>
      <c r="N51" s="13">
        <v>4.17</v>
      </c>
      <c r="O51" s="13">
        <v>5.3</v>
      </c>
      <c r="P51" s="15">
        <f t="shared" si="3"/>
        <v>18.940000000000001</v>
      </c>
      <c r="Q51" s="15">
        <f t="shared" si="7"/>
        <v>31</v>
      </c>
      <c r="R51" s="16">
        <f t="shared" si="13"/>
        <v>0.61096774193548387</v>
      </c>
      <c r="S51" s="7" t="str">
        <f t="shared" si="14"/>
        <v>Memenuhi Target</v>
      </c>
    </row>
    <row r="52" spans="1:19" x14ac:dyDescent="0.35">
      <c r="A52" s="5">
        <v>48</v>
      </c>
      <c r="B52" s="12" t="s">
        <v>72</v>
      </c>
      <c r="C52" s="13">
        <v>29</v>
      </c>
      <c r="D52" s="14" t="s">
        <v>26</v>
      </c>
      <c r="E52" s="6">
        <f t="shared" si="15"/>
        <v>4.3499999999999996</v>
      </c>
      <c r="F52" s="15">
        <f t="shared" si="15"/>
        <v>4.3499999999999996</v>
      </c>
      <c r="G52" s="6">
        <f t="shared" si="15"/>
        <v>4.3499999999999996</v>
      </c>
      <c r="H52">
        <f t="shared" si="15"/>
        <v>4.3499999999999996</v>
      </c>
      <c r="I52" s="6">
        <f t="shared" si="15"/>
        <v>4.3499999999999996</v>
      </c>
      <c r="K52" s="10" t="str">
        <f t="shared" si="2"/>
        <v>Tuna Sirip Kuning 048</v>
      </c>
      <c r="L52" s="13">
        <v>3.82</v>
      </c>
      <c r="M52" s="13">
        <v>4.91</v>
      </c>
      <c r="N52" s="13">
        <v>4.17</v>
      </c>
      <c r="O52" s="13">
        <v>4.12</v>
      </c>
      <c r="P52" s="15">
        <f t="shared" si="3"/>
        <v>17.02</v>
      </c>
      <c r="Q52" s="15">
        <f t="shared" si="7"/>
        <v>29</v>
      </c>
      <c r="R52" s="16">
        <f t="shared" si="13"/>
        <v>0.5868965517241379</v>
      </c>
      <c r="S52" s="7" t="str">
        <f t="shared" si="14"/>
        <v>Di Bawah Target</v>
      </c>
    </row>
    <row r="53" spans="1:19" x14ac:dyDescent="0.35">
      <c r="A53" s="5">
        <v>49</v>
      </c>
      <c r="B53" s="12" t="s">
        <v>73</v>
      </c>
      <c r="C53" s="13">
        <v>30</v>
      </c>
      <c r="D53" s="14" t="s">
        <v>26</v>
      </c>
      <c r="E53" s="6">
        <f t="shared" si="15"/>
        <v>4.5</v>
      </c>
      <c r="F53" s="15">
        <f t="shared" si="15"/>
        <v>4.5</v>
      </c>
      <c r="G53" s="6">
        <f t="shared" si="15"/>
        <v>4.5</v>
      </c>
      <c r="H53">
        <f t="shared" si="15"/>
        <v>4.5</v>
      </c>
      <c r="I53" s="6">
        <f t="shared" si="15"/>
        <v>4.5</v>
      </c>
      <c r="K53" s="10" t="str">
        <f t="shared" si="2"/>
        <v>Tuna Sirip Kuning 049</v>
      </c>
      <c r="L53" s="13">
        <v>4.0999999999999996</v>
      </c>
      <c r="M53" s="13">
        <v>5.25</v>
      </c>
      <c r="N53" s="13">
        <v>4.03</v>
      </c>
      <c r="O53" s="13">
        <v>5.15</v>
      </c>
      <c r="P53" s="15">
        <f t="shared" si="3"/>
        <v>18.53</v>
      </c>
      <c r="Q53" s="15">
        <f t="shared" si="7"/>
        <v>30</v>
      </c>
      <c r="R53" s="16">
        <f t="shared" si="13"/>
        <v>0.6176666666666667</v>
      </c>
      <c r="S53" s="7" t="str">
        <f t="shared" si="14"/>
        <v>Memenuhi Target</v>
      </c>
    </row>
    <row r="54" spans="1:19" x14ac:dyDescent="0.35">
      <c r="A54" s="5">
        <v>50</v>
      </c>
      <c r="B54" s="12" t="s">
        <v>74</v>
      </c>
      <c r="C54" s="13">
        <v>25</v>
      </c>
      <c r="D54" s="14" t="s">
        <v>26</v>
      </c>
      <c r="E54" s="6">
        <f t="shared" si="15"/>
        <v>3.75</v>
      </c>
      <c r="F54" s="15">
        <f t="shared" si="15"/>
        <v>3.75</v>
      </c>
      <c r="G54" s="6">
        <f t="shared" si="15"/>
        <v>3.75</v>
      </c>
      <c r="H54">
        <f t="shared" si="15"/>
        <v>3.75</v>
      </c>
      <c r="I54" s="6">
        <f t="shared" si="15"/>
        <v>3.75</v>
      </c>
      <c r="K54" s="10" t="str">
        <f t="shared" si="2"/>
        <v>Tuna Sirip Kuning 050</v>
      </c>
      <c r="L54" s="13">
        <v>3.27</v>
      </c>
      <c r="M54" s="13">
        <v>4.37</v>
      </c>
      <c r="N54" s="13">
        <v>3.58</v>
      </c>
      <c r="O54" s="13">
        <v>4.3499999999999996</v>
      </c>
      <c r="P54" s="15">
        <f t="shared" si="3"/>
        <v>15.57</v>
      </c>
      <c r="Q54" s="15">
        <f t="shared" si="7"/>
        <v>25</v>
      </c>
      <c r="R54" s="16">
        <f t="shared" si="13"/>
        <v>0.62280000000000002</v>
      </c>
      <c r="S54" s="7" t="str">
        <f t="shared" si="14"/>
        <v>Memenuhi Target</v>
      </c>
    </row>
    <row r="55" spans="1:19" x14ac:dyDescent="0.35">
      <c r="A55" s="5">
        <v>51</v>
      </c>
      <c r="B55" s="12" t="s">
        <v>75</v>
      </c>
      <c r="C55" s="13">
        <v>49</v>
      </c>
      <c r="D55" s="14" t="s">
        <v>26</v>
      </c>
      <c r="E55" s="6">
        <f t="shared" si="15"/>
        <v>7.35</v>
      </c>
      <c r="F55" s="15">
        <f t="shared" si="15"/>
        <v>7.35</v>
      </c>
      <c r="G55" s="6">
        <f t="shared" si="15"/>
        <v>7.35</v>
      </c>
      <c r="H55">
        <f t="shared" si="15"/>
        <v>7.35</v>
      </c>
      <c r="I55" s="6">
        <f t="shared" si="15"/>
        <v>7.35</v>
      </c>
      <c r="K55" s="10" t="str">
        <f t="shared" ref="K55:K71" si="16">IF(B55="","",B55)</f>
        <v>Tuna Sirip Kuning 051</v>
      </c>
      <c r="L55" s="13">
        <v>6.25</v>
      </c>
      <c r="M55" s="13">
        <f>4.73+3.88</f>
        <v>8.61</v>
      </c>
      <c r="N55" s="13">
        <v>6.27</v>
      </c>
      <c r="O55" s="13">
        <f>3.94+4.64</f>
        <v>8.58</v>
      </c>
      <c r="P55" s="15">
        <f t="shared" ref="P55:P71" si="17">IF(COUNT(L55:O55)=0,"",SUM(L55:O55))</f>
        <v>29.71</v>
      </c>
      <c r="Q55" s="15">
        <f t="shared" ref="Q55:Q71" si="18">IF(C55="","",C55)</f>
        <v>49</v>
      </c>
      <c r="R55" s="16">
        <f t="shared" si="13"/>
        <v>0.60632653061224495</v>
      </c>
      <c r="S55" s="7" t="str">
        <f t="shared" si="14"/>
        <v>Memenuhi Target</v>
      </c>
    </row>
    <row r="56" spans="1:19" x14ac:dyDescent="0.35">
      <c r="A56" s="5">
        <v>52</v>
      </c>
      <c r="B56" s="12" t="s">
        <v>76</v>
      </c>
      <c r="C56" s="13">
        <v>43</v>
      </c>
      <c r="D56" s="14" t="s">
        <v>26</v>
      </c>
      <c r="E56" s="6">
        <f t="shared" si="15"/>
        <v>6.45</v>
      </c>
      <c r="F56" s="15">
        <f t="shared" si="15"/>
        <v>6.45</v>
      </c>
      <c r="G56" s="6">
        <f t="shared" si="15"/>
        <v>6.45</v>
      </c>
      <c r="H56">
        <f t="shared" si="15"/>
        <v>6.45</v>
      </c>
      <c r="I56" s="6">
        <f t="shared" si="15"/>
        <v>6.45</v>
      </c>
      <c r="K56" s="10" t="str">
        <f t="shared" si="16"/>
        <v>Tuna Sirip Kuning 052</v>
      </c>
      <c r="L56" s="13">
        <v>5.83</v>
      </c>
      <c r="M56" s="13">
        <f>4.67+3.23</f>
        <v>7.9</v>
      </c>
      <c r="N56" s="13">
        <v>6.1</v>
      </c>
      <c r="O56" s="13">
        <f>3.48+4.5</f>
        <v>7.98</v>
      </c>
      <c r="P56" s="15">
        <f t="shared" si="17"/>
        <v>27.81</v>
      </c>
      <c r="Q56" s="15">
        <f t="shared" si="18"/>
        <v>43</v>
      </c>
      <c r="R56" s="16">
        <f t="shared" ref="R56:R57" si="19">IF(OR(P56="",Q56="",Q56=0),"",P56/Q56)</f>
        <v>0.64674418604651163</v>
      </c>
      <c r="S56" s="7" t="str">
        <f t="shared" ref="S56:S57" si="20">IF(R56="","",IF(R56&gt;=($H$1*4),"Memenuhi Target","Di Bawah Target"))</f>
        <v>Memenuhi Target</v>
      </c>
    </row>
    <row r="57" spans="1:19" x14ac:dyDescent="0.35">
      <c r="A57" s="5">
        <v>53</v>
      </c>
      <c r="B57" s="12" t="s">
        <v>77</v>
      </c>
      <c r="C57" s="13">
        <v>33</v>
      </c>
      <c r="D57" s="14" t="s">
        <v>26</v>
      </c>
      <c r="E57" s="6">
        <f t="shared" si="15"/>
        <v>4.95</v>
      </c>
      <c r="F57" s="15">
        <f t="shared" si="15"/>
        <v>4.95</v>
      </c>
      <c r="G57" s="6">
        <f t="shared" si="15"/>
        <v>4.95</v>
      </c>
      <c r="H57">
        <f t="shared" si="15"/>
        <v>4.95</v>
      </c>
      <c r="I57" s="6">
        <f t="shared" si="15"/>
        <v>4.95</v>
      </c>
      <c r="K57" s="10" t="str">
        <f t="shared" si="16"/>
        <v>Tuna Sirip Kuning 053</v>
      </c>
      <c r="L57" s="13">
        <v>4.84</v>
      </c>
      <c r="M57" s="13">
        <v>6.4</v>
      </c>
      <c r="N57" s="13">
        <v>4.8</v>
      </c>
      <c r="O57" s="13">
        <v>6.15</v>
      </c>
      <c r="P57" s="15">
        <f t="shared" si="17"/>
        <v>22.189999999999998</v>
      </c>
      <c r="Q57" s="15">
        <f t="shared" si="18"/>
        <v>33</v>
      </c>
      <c r="R57" s="16">
        <f t="shared" si="19"/>
        <v>0.67242424242424237</v>
      </c>
      <c r="S57" s="7" t="str">
        <f t="shared" si="20"/>
        <v>Memenuhi Target</v>
      </c>
    </row>
    <row r="58" spans="1:19" x14ac:dyDescent="0.35">
      <c r="A58" s="5">
        <v>54</v>
      </c>
      <c r="B58" s="12" t="s">
        <v>78</v>
      </c>
      <c r="C58" s="13">
        <v>47</v>
      </c>
      <c r="D58" s="14" t="s">
        <v>26</v>
      </c>
      <c r="E58" s="6">
        <f t="shared" ref="E58:I74" si="21">IF($C58="","",$C58*$H$1)</f>
        <v>7.05</v>
      </c>
      <c r="F58" s="15">
        <f t="shared" si="21"/>
        <v>7.05</v>
      </c>
      <c r="G58" s="6">
        <f t="shared" si="21"/>
        <v>7.05</v>
      </c>
      <c r="H58">
        <f t="shared" si="21"/>
        <v>7.05</v>
      </c>
      <c r="I58" s="6">
        <f t="shared" si="21"/>
        <v>7.05</v>
      </c>
      <c r="K58" s="10" t="str">
        <f t="shared" si="16"/>
        <v>Tuna Sirip Kuning 054</v>
      </c>
      <c r="L58" s="13">
        <v>6.15</v>
      </c>
      <c r="M58" s="13">
        <f>4.2+3.94</f>
        <v>8.14</v>
      </c>
      <c r="N58" s="13">
        <v>6.61</v>
      </c>
      <c r="O58" s="13">
        <f>3.47+4.84</f>
        <v>8.31</v>
      </c>
      <c r="P58" s="15">
        <f t="shared" si="17"/>
        <v>29.21</v>
      </c>
      <c r="Q58" s="15">
        <f t="shared" si="18"/>
        <v>47</v>
      </c>
      <c r="R58" s="16">
        <f t="shared" ref="R58:R59" si="22">IF(OR(P58="",Q58="",Q58=0),"",P58/Q58)</f>
        <v>0.62148936170212765</v>
      </c>
      <c r="S58" s="7" t="str">
        <f t="shared" ref="S58:S59" si="23">IF(R58="","",IF(R58&gt;=($H$1*4),"Memenuhi Target","Di Bawah Target"))</f>
        <v>Memenuhi Target</v>
      </c>
    </row>
    <row r="59" spans="1:19" x14ac:dyDescent="0.35">
      <c r="A59" s="5">
        <v>55</v>
      </c>
      <c r="B59" s="12" t="s">
        <v>79</v>
      </c>
      <c r="C59" s="13">
        <v>30</v>
      </c>
      <c r="D59" s="14" t="s">
        <v>25</v>
      </c>
      <c r="E59" s="6">
        <f t="shared" si="21"/>
        <v>4.5</v>
      </c>
      <c r="F59" s="15">
        <f t="shared" si="21"/>
        <v>4.5</v>
      </c>
      <c r="G59" s="6">
        <f t="shared" si="21"/>
        <v>4.5</v>
      </c>
      <c r="H59">
        <f t="shared" si="21"/>
        <v>4.5</v>
      </c>
      <c r="I59" s="6">
        <f t="shared" si="21"/>
        <v>4.5</v>
      </c>
      <c r="K59" s="10" t="str">
        <f t="shared" si="16"/>
        <v>Tuna Sirip Kuning 055</v>
      </c>
      <c r="L59" s="13">
        <v>4.17</v>
      </c>
      <c r="M59" s="13">
        <v>5.3</v>
      </c>
      <c r="N59" s="13">
        <v>3.92</v>
      </c>
      <c r="O59" s="13">
        <v>5.15</v>
      </c>
      <c r="P59" s="15">
        <f t="shared" si="17"/>
        <v>18.54</v>
      </c>
      <c r="Q59" s="15">
        <f t="shared" si="18"/>
        <v>30</v>
      </c>
      <c r="R59" s="16">
        <f t="shared" si="22"/>
        <v>0.61799999999999999</v>
      </c>
      <c r="S59" s="7" t="str">
        <f t="shared" si="23"/>
        <v>Memenuhi Target</v>
      </c>
    </row>
    <row r="60" spans="1:19" x14ac:dyDescent="0.35">
      <c r="A60" s="5">
        <v>56</v>
      </c>
      <c r="B60" s="12" t="s">
        <v>80</v>
      </c>
      <c r="C60" s="13">
        <v>30</v>
      </c>
      <c r="D60" s="14" t="s">
        <v>25</v>
      </c>
      <c r="E60" s="6">
        <f t="shared" si="21"/>
        <v>4.5</v>
      </c>
      <c r="F60" s="15">
        <f t="shared" si="21"/>
        <v>4.5</v>
      </c>
      <c r="G60" s="6">
        <f t="shared" si="21"/>
        <v>4.5</v>
      </c>
      <c r="H60">
        <f t="shared" si="21"/>
        <v>4.5</v>
      </c>
      <c r="I60" s="6">
        <f t="shared" si="21"/>
        <v>4.5</v>
      </c>
      <c r="K60" s="10" t="str">
        <f t="shared" si="16"/>
        <v>Tuna Sirip Kuning 056</v>
      </c>
      <c r="L60" s="13">
        <v>4.1500000000000004</v>
      </c>
      <c r="M60" s="13">
        <v>4.83</v>
      </c>
      <c r="N60" s="13">
        <v>4.05</v>
      </c>
      <c r="O60" s="13">
        <v>5.25</v>
      </c>
      <c r="P60" s="15">
        <f t="shared" si="17"/>
        <v>18.28</v>
      </c>
      <c r="Q60" s="15">
        <f t="shared" si="18"/>
        <v>30</v>
      </c>
      <c r="R60" s="16">
        <f t="shared" ref="R60:R61" si="24">IF(OR(P60="",Q60="",Q60=0),"",P60/Q60)</f>
        <v>0.60933333333333339</v>
      </c>
      <c r="S60" s="7" t="str">
        <f t="shared" ref="S60:S61" si="25">IF(R60="","",IF(R60&gt;=($H$1*4),"Memenuhi Target","Di Bawah Target"))</f>
        <v>Memenuhi Target</v>
      </c>
    </row>
    <row r="61" spans="1:19" x14ac:dyDescent="0.35">
      <c r="A61" s="5">
        <v>57</v>
      </c>
      <c r="B61" s="12" t="s">
        <v>81</v>
      </c>
      <c r="C61" s="13">
        <v>30</v>
      </c>
      <c r="D61" s="14" t="s">
        <v>26</v>
      </c>
      <c r="E61" s="6">
        <f t="shared" si="21"/>
        <v>4.5</v>
      </c>
      <c r="F61" s="15">
        <f t="shared" si="21"/>
        <v>4.5</v>
      </c>
      <c r="G61" s="6">
        <f t="shared" si="21"/>
        <v>4.5</v>
      </c>
      <c r="H61">
        <f t="shared" si="21"/>
        <v>4.5</v>
      </c>
      <c r="I61" s="6">
        <f t="shared" si="21"/>
        <v>4.5</v>
      </c>
      <c r="K61" s="10" t="str">
        <f t="shared" si="16"/>
        <v>Tuna Sirip Kuning 057</v>
      </c>
      <c r="L61" s="13">
        <v>4.05</v>
      </c>
      <c r="M61" s="13">
        <v>5.32</v>
      </c>
      <c r="N61" s="13">
        <v>4.1500000000000004</v>
      </c>
      <c r="O61" s="13">
        <v>5.12</v>
      </c>
      <c r="P61" s="15">
        <f t="shared" si="17"/>
        <v>18.64</v>
      </c>
      <c r="Q61" s="15">
        <f t="shared" si="18"/>
        <v>30</v>
      </c>
      <c r="R61" s="16">
        <f t="shared" si="24"/>
        <v>0.6213333333333334</v>
      </c>
      <c r="S61" s="7" t="str">
        <f t="shared" si="25"/>
        <v>Memenuhi Target</v>
      </c>
    </row>
    <row r="62" spans="1:19" x14ac:dyDescent="0.35">
      <c r="A62" s="5">
        <v>58</v>
      </c>
      <c r="B62" s="12" t="s">
        <v>82</v>
      </c>
      <c r="C62" s="13">
        <v>31</v>
      </c>
      <c r="D62" s="14" t="s">
        <v>26</v>
      </c>
      <c r="E62" s="6">
        <f t="shared" si="21"/>
        <v>4.6499999999999995</v>
      </c>
      <c r="F62" s="15">
        <f t="shared" si="21"/>
        <v>4.6499999999999995</v>
      </c>
      <c r="G62" s="6">
        <f t="shared" si="21"/>
        <v>4.6499999999999995</v>
      </c>
      <c r="H62">
        <f t="shared" si="21"/>
        <v>4.6499999999999995</v>
      </c>
      <c r="I62" s="6">
        <f t="shared" si="21"/>
        <v>4.6499999999999995</v>
      </c>
      <c r="K62" s="10" t="str">
        <f t="shared" si="16"/>
        <v>Tuna Sirip Kuning 058</v>
      </c>
      <c r="L62" s="13">
        <v>4.6399999999999997</v>
      </c>
      <c r="M62" s="13">
        <v>5.82</v>
      </c>
      <c r="N62" s="13">
        <v>4.25</v>
      </c>
      <c r="O62" s="13">
        <v>5.74</v>
      </c>
      <c r="P62" s="15">
        <f t="shared" si="17"/>
        <v>20.450000000000003</v>
      </c>
      <c r="Q62" s="15">
        <f t="shared" si="18"/>
        <v>31</v>
      </c>
      <c r="R62" s="16">
        <f t="shared" ref="R62:R63" si="26">IF(OR(P62="",Q62="",Q62=0),"",P62/Q62)</f>
        <v>0.65967741935483881</v>
      </c>
      <c r="S62" s="7" t="str">
        <f t="shared" ref="S62:S63" si="27">IF(R62="","",IF(R62&gt;=($H$1*4),"Memenuhi Target","Di Bawah Target"))</f>
        <v>Memenuhi Target</v>
      </c>
    </row>
    <row r="63" spans="1:19" x14ac:dyDescent="0.35">
      <c r="A63" s="5">
        <v>59</v>
      </c>
      <c r="B63" s="12" t="s">
        <v>83</v>
      </c>
      <c r="C63" s="13">
        <v>24</v>
      </c>
      <c r="D63" s="14" t="s">
        <v>26</v>
      </c>
      <c r="E63" s="6">
        <f t="shared" si="21"/>
        <v>3.5999999999999996</v>
      </c>
      <c r="F63" s="15">
        <f t="shared" si="21"/>
        <v>3.5999999999999996</v>
      </c>
      <c r="G63" s="6">
        <f t="shared" si="21"/>
        <v>3.5999999999999996</v>
      </c>
      <c r="H63">
        <f t="shared" si="21"/>
        <v>3.5999999999999996</v>
      </c>
      <c r="I63" s="6">
        <f t="shared" si="21"/>
        <v>3.5999999999999996</v>
      </c>
      <c r="K63" s="10" t="str">
        <f t="shared" si="16"/>
        <v>Tuna Sirip Kuning 059</v>
      </c>
      <c r="L63" s="13">
        <v>3.1</v>
      </c>
      <c r="M63" s="13">
        <v>4.2</v>
      </c>
      <c r="N63" s="13">
        <v>3.05</v>
      </c>
      <c r="O63" s="13">
        <v>4.0999999999999996</v>
      </c>
      <c r="P63" s="15">
        <f t="shared" si="17"/>
        <v>14.450000000000001</v>
      </c>
      <c r="Q63" s="15">
        <f t="shared" si="18"/>
        <v>24</v>
      </c>
      <c r="R63" s="16">
        <f t="shared" si="26"/>
        <v>0.60208333333333341</v>
      </c>
      <c r="S63" s="7" t="str">
        <f t="shared" si="27"/>
        <v>Memenuhi Target</v>
      </c>
    </row>
    <row r="64" spans="1:19" x14ac:dyDescent="0.35">
      <c r="A64" s="5">
        <v>60</v>
      </c>
      <c r="B64" s="12" t="s">
        <v>84</v>
      </c>
      <c r="C64" s="13">
        <v>22</v>
      </c>
      <c r="D64" s="14" t="s">
        <v>26</v>
      </c>
      <c r="E64" s="6">
        <f t="shared" si="21"/>
        <v>3.3</v>
      </c>
      <c r="F64" s="15">
        <f t="shared" si="21"/>
        <v>3.3</v>
      </c>
      <c r="G64" s="6">
        <f t="shared" si="21"/>
        <v>3.3</v>
      </c>
      <c r="H64">
        <f t="shared" si="21"/>
        <v>3.3</v>
      </c>
      <c r="I64" s="6">
        <f t="shared" si="21"/>
        <v>3.3</v>
      </c>
      <c r="K64" s="10" t="str">
        <f t="shared" si="16"/>
        <v>Tuna Sirip Kuning 060</v>
      </c>
      <c r="L64" s="13">
        <v>3.05</v>
      </c>
      <c r="M64" s="13">
        <v>3</v>
      </c>
      <c r="N64" s="13">
        <v>4.05</v>
      </c>
      <c r="O64" s="13">
        <v>4.2</v>
      </c>
      <c r="P64" s="15">
        <f t="shared" si="17"/>
        <v>14.3</v>
      </c>
      <c r="Q64" s="15">
        <f t="shared" si="18"/>
        <v>22</v>
      </c>
      <c r="R64" s="16">
        <f t="shared" ref="R64:R79" si="28">IF(OR(P64="",Q64="",Q64=0),"",P64/Q64)</f>
        <v>0.65</v>
      </c>
      <c r="S64" s="7" t="str">
        <f t="shared" ref="S64:S65" si="29">IF(R64="","",IF(R64&gt;=($H$1*4),"Memenuhi Target","Di Bawah Target"))</f>
        <v>Memenuhi Target</v>
      </c>
    </row>
    <row r="65" spans="1:19" x14ac:dyDescent="0.35">
      <c r="A65" s="5">
        <v>61</v>
      </c>
      <c r="B65" s="12" t="s">
        <v>85</v>
      </c>
      <c r="C65" s="13">
        <v>37</v>
      </c>
      <c r="D65" s="14" t="s">
        <v>26</v>
      </c>
      <c r="E65" s="6">
        <f t="shared" si="21"/>
        <v>5.55</v>
      </c>
      <c r="F65" s="15">
        <f t="shared" si="21"/>
        <v>5.55</v>
      </c>
      <c r="G65" s="6">
        <f t="shared" si="21"/>
        <v>5.55</v>
      </c>
      <c r="H65">
        <f t="shared" si="21"/>
        <v>5.55</v>
      </c>
      <c r="I65" s="6">
        <f t="shared" si="21"/>
        <v>5.55</v>
      </c>
      <c r="K65" s="10" t="str">
        <f t="shared" si="16"/>
        <v>Tuna Sirip Kuning 061</v>
      </c>
      <c r="L65" s="13">
        <v>4.8600000000000003</v>
      </c>
      <c r="M65" s="13">
        <v>6.78</v>
      </c>
      <c r="N65" s="13">
        <v>5.25</v>
      </c>
      <c r="O65" s="13">
        <v>6.8</v>
      </c>
      <c r="P65" s="15">
        <f t="shared" si="17"/>
        <v>23.69</v>
      </c>
      <c r="Q65" s="15">
        <f t="shared" si="18"/>
        <v>37</v>
      </c>
      <c r="R65" s="16">
        <f t="shared" si="28"/>
        <v>0.64027027027027028</v>
      </c>
      <c r="S65" s="7" t="str">
        <f t="shared" si="29"/>
        <v>Memenuhi Target</v>
      </c>
    </row>
    <row r="66" spans="1:19" x14ac:dyDescent="0.35">
      <c r="A66" s="5">
        <v>62</v>
      </c>
      <c r="B66" s="12" t="s">
        <v>86</v>
      </c>
      <c r="C66" s="13">
        <v>38</v>
      </c>
      <c r="D66" s="14" t="s">
        <v>26</v>
      </c>
      <c r="E66" s="6">
        <f t="shared" si="21"/>
        <v>5.7</v>
      </c>
      <c r="F66" s="15">
        <f t="shared" si="21"/>
        <v>5.7</v>
      </c>
      <c r="G66" s="6">
        <f t="shared" si="21"/>
        <v>5.7</v>
      </c>
      <c r="H66">
        <f t="shared" si="21"/>
        <v>5.7</v>
      </c>
      <c r="I66" s="6">
        <f t="shared" si="21"/>
        <v>5.7</v>
      </c>
      <c r="K66" s="10" t="str">
        <f t="shared" si="16"/>
        <v>Tuna Sirip Kuning 062</v>
      </c>
      <c r="L66" s="13">
        <v>5.0999999999999996</v>
      </c>
      <c r="M66" s="13">
        <v>6.33</v>
      </c>
      <c r="N66" s="13">
        <v>5.05</v>
      </c>
      <c r="O66" s="13">
        <v>6.5</v>
      </c>
      <c r="P66" s="15">
        <f t="shared" si="17"/>
        <v>22.98</v>
      </c>
      <c r="Q66" s="15">
        <f t="shared" si="18"/>
        <v>38</v>
      </c>
      <c r="R66" s="16">
        <f t="shared" si="28"/>
        <v>0.60473684210526313</v>
      </c>
      <c r="S66" s="7" t="str">
        <f t="shared" ref="S66:S85" si="30">IF(R66="","",IF(R66&gt;=($H$1*4),"Memenuhi Target","Di Bawah Target"))</f>
        <v>Memenuhi Target</v>
      </c>
    </row>
    <row r="67" spans="1:19" x14ac:dyDescent="0.35">
      <c r="A67" s="5">
        <v>63</v>
      </c>
      <c r="B67" s="12" t="s">
        <v>87</v>
      </c>
      <c r="C67" s="13">
        <v>41</v>
      </c>
      <c r="D67" s="14" t="s">
        <v>26</v>
      </c>
      <c r="E67" s="6">
        <f t="shared" si="21"/>
        <v>6.1499999999999995</v>
      </c>
      <c r="F67" s="15">
        <f t="shared" si="21"/>
        <v>6.1499999999999995</v>
      </c>
      <c r="G67" s="6">
        <f t="shared" si="21"/>
        <v>6.1499999999999995</v>
      </c>
      <c r="H67">
        <f t="shared" si="21"/>
        <v>6.1499999999999995</v>
      </c>
      <c r="I67" s="6">
        <f t="shared" si="21"/>
        <v>6.1499999999999995</v>
      </c>
      <c r="K67" s="10" t="str">
        <f t="shared" si="16"/>
        <v>Tuna Sirip Kuning 063</v>
      </c>
      <c r="L67" s="13">
        <v>5.21</v>
      </c>
      <c r="M67" s="13">
        <v>6.75</v>
      </c>
      <c r="N67" s="13">
        <v>6.85</v>
      </c>
      <c r="O67" s="13">
        <v>5.18</v>
      </c>
      <c r="P67" s="15">
        <f t="shared" si="17"/>
        <v>23.990000000000002</v>
      </c>
      <c r="Q67" s="15">
        <f t="shared" si="18"/>
        <v>41</v>
      </c>
      <c r="R67" s="16">
        <f t="shared" si="28"/>
        <v>0.58512195121951227</v>
      </c>
      <c r="S67" s="7" t="str">
        <f t="shared" si="30"/>
        <v>Di Bawah Target</v>
      </c>
    </row>
    <row r="68" spans="1:19" x14ac:dyDescent="0.35">
      <c r="A68" s="5">
        <v>64</v>
      </c>
      <c r="B68" s="12" t="s">
        <v>88</v>
      </c>
      <c r="C68" s="13">
        <v>28</v>
      </c>
      <c r="D68" s="14" t="s">
        <v>25</v>
      </c>
      <c r="E68" s="6">
        <f t="shared" si="21"/>
        <v>4.2</v>
      </c>
      <c r="F68" s="15">
        <f t="shared" si="21"/>
        <v>4.2</v>
      </c>
      <c r="G68" s="6">
        <f t="shared" si="21"/>
        <v>4.2</v>
      </c>
      <c r="H68">
        <f t="shared" si="21"/>
        <v>4.2</v>
      </c>
      <c r="I68" s="6">
        <f t="shared" si="21"/>
        <v>4.2</v>
      </c>
      <c r="K68" s="10" t="str">
        <f t="shared" si="16"/>
        <v>Tuna Sirip Kuning 064</v>
      </c>
      <c r="L68" s="13">
        <v>6.22</v>
      </c>
      <c r="M68" s="13">
        <f>4.87+3.78</f>
        <v>8.65</v>
      </c>
      <c r="N68" s="13">
        <v>6.24</v>
      </c>
      <c r="O68" s="13">
        <f>3.16+4.73</f>
        <v>7.8900000000000006</v>
      </c>
      <c r="P68" s="15">
        <f t="shared" si="17"/>
        <v>29</v>
      </c>
      <c r="Q68" s="15">
        <f t="shared" si="18"/>
        <v>28</v>
      </c>
      <c r="R68" s="16">
        <f t="shared" si="28"/>
        <v>1.0357142857142858</v>
      </c>
      <c r="S68" s="7" t="str">
        <f t="shared" si="30"/>
        <v>Memenuhi Target</v>
      </c>
    </row>
    <row r="69" spans="1:19" x14ac:dyDescent="0.35">
      <c r="A69" s="5">
        <v>65</v>
      </c>
      <c r="B69" s="12" t="s">
        <v>89</v>
      </c>
      <c r="C69" s="13">
        <v>47</v>
      </c>
      <c r="D69" s="14" t="s">
        <v>25</v>
      </c>
      <c r="E69" s="6">
        <f t="shared" si="21"/>
        <v>7.05</v>
      </c>
      <c r="F69" s="15">
        <f t="shared" si="21"/>
        <v>7.05</v>
      </c>
      <c r="G69" s="6">
        <f t="shared" si="21"/>
        <v>7.05</v>
      </c>
      <c r="H69">
        <f t="shared" si="21"/>
        <v>7.05</v>
      </c>
      <c r="I69" s="6">
        <f t="shared" si="21"/>
        <v>7.05</v>
      </c>
      <c r="K69" s="10" t="str">
        <f t="shared" si="16"/>
        <v>Tuna Sirip Kuning 065</v>
      </c>
      <c r="L69" s="13">
        <v>6.35</v>
      </c>
      <c r="M69" s="13">
        <v>6.3</v>
      </c>
      <c r="N69" s="13">
        <f>3.76+4.8</f>
        <v>8.5599999999999987</v>
      </c>
      <c r="O69" s="13">
        <f>3.16+4.73</f>
        <v>7.8900000000000006</v>
      </c>
      <c r="P69" s="15">
        <f t="shared" si="17"/>
        <v>29.099999999999998</v>
      </c>
      <c r="Q69" s="15">
        <f t="shared" si="18"/>
        <v>47</v>
      </c>
      <c r="R69" s="16">
        <f t="shared" si="28"/>
        <v>0.61914893617021272</v>
      </c>
      <c r="S69" s="7" t="str">
        <f t="shared" si="30"/>
        <v>Memenuhi Target</v>
      </c>
    </row>
    <row r="70" spans="1:19" x14ac:dyDescent="0.35">
      <c r="A70" s="5">
        <v>66</v>
      </c>
      <c r="B70" s="12" t="s">
        <v>90</v>
      </c>
      <c r="C70" s="13">
        <v>52</v>
      </c>
      <c r="D70" s="14" t="s">
        <v>25</v>
      </c>
      <c r="E70" s="6">
        <f t="shared" si="21"/>
        <v>7.8</v>
      </c>
      <c r="F70" s="15">
        <f t="shared" si="21"/>
        <v>7.8</v>
      </c>
      <c r="G70" s="6">
        <f t="shared" si="21"/>
        <v>7.8</v>
      </c>
      <c r="H70">
        <f t="shared" si="21"/>
        <v>7.8</v>
      </c>
      <c r="I70" s="6">
        <f t="shared" si="21"/>
        <v>7.8</v>
      </c>
      <c r="K70" s="10" t="str">
        <f t="shared" si="16"/>
        <v>Tuna Sirip Kuning 066</v>
      </c>
      <c r="L70" s="13">
        <f>4.83+3.85</f>
        <v>8.68</v>
      </c>
      <c r="M70" s="13">
        <v>6.36</v>
      </c>
      <c r="N70" s="13">
        <v>6.74</v>
      </c>
      <c r="O70" s="13">
        <f>4.05+4.58</f>
        <v>8.629999999999999</v>
      </c>
      <c r="P70" s="15">
        <f t="shared" si="17"/>
        <v>30.41</v>
      </c>
      <c r="Q70" s="15">
        <f t="shared" si="18"/>
        <v>52</v>
      </c>
      <c r="R70" s="16">
        <f t="shared" si="28"/>
        <v>0.58480769230769236</v>
      </c>
      <c r="S70" s="7" t="str">
        <f t="shared" si="30"/>
        <v>Di Bawah Target</v>
      </c>
    </row>
    <row r="71" spans="1:19" x14ac:dyDescent="0.35">
      <c r="A71" s="5">
        <v>67</v>
      </c>
      <c r="B71" s="12" t="s">
        <v>91</v>
      </c>
      <c r="C71" s="13">
        <v>40</v>
      </c>
      <c r="D71" s="14" t="s">
        <v>25</v>
      </c>
      <c r="E71" s="6">
        <f t="shared" si="21"/>
        <v>6</v>
      </c>
      <c r="F71" s="15">
        <f t="shared" si="21"/>
        <v>6</v>
      </c>
      <c r="G71" s="6">
        <f t="shared" si="21"/>
        <v>6</v>
      </c>
      <c r="H71">
        <f t="shared" si="21"/>
        <v>6</v>
      </c>
      <c r="I71" s="6">
        <f t="shared" si="21"/>
        <v>6</v>
      </c>
      <c r="K71" s="10" t="str">
        <f t="shared" si="16"/>
        <v>Tuna Sirip Kuning 067</v>
      </c>
      <c r="L71" s="13">
        <v>5.47</v>
      </c>
      <c r="M71" s="13">
        <f>3.83+3.43</f>
        <v>7.26</v>
      </c>
      <c r="N71" s="13">
        <v>5.87</v>
      </c>
      <c r="O71" s="13">
        <f>3.15+4.13</f>
        <v>7.2799999999999994</v>
      </c>
      <c r="P71" s="15">
        <f t="shared" si="17"/>
        <v>25.880000000000003</v>
      </c>
      <c r="Q71" s="15">
        <f t="shared" si="18"/>
        <v>40</v>
      </c>
      <c r="R71" s="16">
        <f t="shared" si="28"/>
        <v>0.64700000000000002</v>
      </c>
      <c r="S71" s="7" t="str">
        <f t="shared" si="30"/>
        <v>Memenuhi Target</v>
      </c>
    </row>
    <row r="72" spans="1:19" x14ac:dyDescent="0.35">
      <c r="A72" s="5">
        <v>68</v>
      </c>
      <c r="B72" s="12" t="s">
        <v>92</v>
      </c>
      <c r="C72" s="13">
        <v>35</v>
      </c>
      <c r="D72" s="14" t="s">
        <v>25</v>
      </c>
      <c r="E72" s="6">
        <f t="shared" si="21"/>
        <v>5.25</v>
      </c>
      <c r="F72" s="15">
        <f t="shared" si="21"/>
        <v>5.25</v>
      </c>
      <c r="G72" s="6">
        <f t="shared" si="21"/>
        <v>5.25</v>
      </c>
      <c r="H72">
        <f t="shared" si="21"/>
        <v>5.25</v>
      </c>
      <c r="I72" s="6">
        <f t="shared" si="21"/>
        <v>5.25</v>
      </c>
      <c r="K72" s="10" t="str">
        <f t="shared" ref="K72:K73" si="31">IF(B72="","",B72)</f>
        <v>Tuna Sirip Kuning 068</v>
      </c>
      <c r="L72" s="13">
        <v>4.54</v>
      </c>
      <c r="M72" s="13">
        <v>6.2</v>
      </c>
      <c r="N72" s="13">
        <v>4.7300000000000004</v>
      </c>
      <c r="O72" s="13">
        <v>6.25</v>
      </c>
      <c r="P72" s="15">
        <f t="shared" ref="P72:P73" si="32">IF(COUNT(L72:O72)=0,"",SUM(L72:O72))</f>
        <v>21.72</v>
      </c>
      <c r="Q72" s="15">
        <f t="shared" ref="Q72:Q73" si="33">IF(C72="","",C72)</f>
        <v>35</v>
      </c>
      <c r="R72" s="16">
        <f t="shared" si="28"/>
        <v>0.62057142857142855</v>
      </c>
      <c r="S72" s="7" t="str">
        <f t="shared" si="30"/>
        <v>Memenuhi Target</v>
      </c>
    </row>
    <row r="73" spans="1:19" x14ac:dyDescent="0.35">
      <c r="A73" s="5">
        <v>69</v>
      </c>
      <c r="B73" s="12" t="s">
        <v>93</v>
      </c>
      <c r="C73" s="13">
        <v>42</v>
      </c>
      <c r="D73" s="14" t="s">
        <v>25</v>
      </c>
      <c r="E73" s="6">
        <f t="shared" si="21"/>
        <v>6.3</v>
      </c>
      <c r="F73" s="15">
        <f t="shared" si="21"/>
        <v>6.3</v>
      </c>
      <c r="G73" s="6">
        <f t="shared" si="21"/>
        <v>6.3</v>
      </c>
      <c r="H73">
        <f t="shared" si="21"/>
        <v>6.3</v>
      </c>
      <c r="I73" s="6">
        <f t="shared" si="21"/>
        <v>6.3</v>
      </c>
      <c r="K73" s="10" t="str">
        <f t="shared" si="31"/>
        <v>Tuna Sirip Kuning 069</v>
      </c>
      <c r="L73" s="13">
        <v>5.16</v>
      </c>
      <c r="M73" s="13">
        <v>6.86</v>
      </c>
      <c r="N73" s="13">
        <v>5.34</v>
      </c>
      <c r="O73" s="13">
        <v>6.92</v>
      </c>
      <c r="P73" s="15">
        <f t="shared" si="32"/>
        <v>24.28</v>
      </c>
      <c r="Q73" s="15">
        <f t="shared" si="33"/>
        <v>42</v>
      </c>
      <c r="R73" s="16">
        <f t="shared" si="28"/>
        <v>0.57809523809523811</v>
      </c>
      <c r="S73" s="7" t="str">
        <f t="shared" si="30"/>
        <v>Di Bawah Target</v>
      </c>
    </row>
    <row r="74" spans="1:19" x14ac:dyDescent="0.35">
      <c r="A74" s="5">
        <v>70</v>
      </c>
      <c r="B74" s="12" t="s">
        <v>94</v>
      </c>
      <c r="C74" s="13">
        <v>54</v>
      </c>
      <c r="D74" s="14" t="s">
        <v>25</v>
      </c>
      <c r="E74" s="6">
        <f t="shared" si="21"/>
        <v>8.1</v>
      </c>
      <c r="F74" s="15">
        <f t="shared" si="21"/>
        <v>8.1</v>
      </c>
      <c r="G74" s="6">
        <f t="shared" si="21"/>
        <v>8.1</v>
      </c>
      <c r="H74">
        <f t="shared" si="21"/>
        <v>8.1</v>
      </c>
      <c r="I74" s="6">
        <f t="shared" si="21"/>
        <v>8.1</v>
      </c>
      <c r="K74" s="10" t="str">
        <f t="shared" ref="K74:K85" si="34">IF(B74="","",B74)</f>
        <v>Tuna Sirip Kuning 070</v>
      </c>
      <c r="L74" s="13">
        <v>7.05</v>
      </c>
      <c r="M74" s="13">
        <f>5.23+3.8</f>
        <v>9.0300000000000011</v>
      </c>
      <c r="N74" s="13">
        <v>7.14</v>
      </c>
      <c r="O74" s="13">
        <f>3.59+5.26</f>
        <v>8.85</v>
      </c>
      <c r="P74" s="15">
        <f t="shared" ref="P74:P85" si="35">IF(COUNT(L74:O74)=0,"",SUM(L74:O74))</f>
        <v>32.07</v>
      </c>
      <c r="Q74" s="15">
        <f t="shared" ref="Q74:Q85" si="36">IF(C74="","",C74)</f>
        <v>54</v>
      </c>
      <c r="R74" s="16">
        <f t="shared" si="28"/>
        <v>0.59388888888888891</v>
      </c>
      <c r="S74" s="7" t="str">
        <f t="shared" si="30"/>
        <v>Di Bawah Target</v>
      </c>
    </row>
    <row r="75" spans="1:19" x14ac:dyDescent="0.35">
      <c r="A75" s="5">
        <v>71</v>
      </c>
      <c r="B75" s="12" t="s">
        <v>95</v>
      </c>
      <c r="C75" s="13">
        <v>47</v>
      </c>
      <c r="D75" s="14" t="s">
        <v>25</v>
      </c>
      <c r="E75" s="6">
        <f t="shared" ref="E75:I85" si="37">IF($C75="","",$C75*$H$1)</f>
        <v>7.05</v>
      </c>
      <c r="F75" s="15">
        <f t="shared" si="37"/>
        <v>7.05</v>
      </c>
      <c r="G75" s="6">
        <f t="shared" si="37"/>
        <v>7.05</v>
      </c>
      <c r="H75">
        <f t="shared" si="37"/>
        <v>7.05</v>
      </c>
      <c r="I75" s="6">
        <f t="shared" si="37"/>
        <v>7.05</v>
      </c>
      <c r="K75" s="10" t="str">
        <f t="shared" si="34"/>
        <v>Tuna Sirip Kuning 071</v>
      </c>
      <c r="L75" s="13">
        <v>6.05</v>
      </c>
      <c r="M75" s="13">
        <f>4.8+3.55</f>
        <v>8.35</v>
      </c>
      <c r="N75" s="13">
        <v>6.18</v>
      </c>
      <c r="O75" s="13">
        <f>3.61+4.54</f>
        <v>8.15</v>
      </c>
      <c r="P75" s="15">
        <f t="shared" si="35"/>
        <v>28.729999999999997</v>
      </c>
      <c r="Q75" s="15">
        <f t="shared" si="36"/>
        <v>47</v>
      </c>
      <c r="R75" s="16">
        <f t="shared" si="28"/>
        <v>0.61127659574468074</v>
      </c>
      <c r="S75" s="7" t="str">
        <f t="shared" si="30"/>
        <v>Memenuhi Target</v>
      </c>
    </row>
    <row r="76" spans="1:19" x14ac:dyDescent="0.35">
      <c r="A76" s="5">
        <v>72</v>
      </c>
      <c r="B76" s="12" t="s">
        <v>96</v>
      </c>
      <c r="C76" s="13">
        <v>58</v>
      </c>
      <c r="D76" s="14" t="s">
        <v>26</v>
      </c>
      <c r="E76" s="6">
        <f t="shared" si="37"/>
        <v>8.6999999999999993</v>
      </c>
      <c r="F76" s="15">
        <f t="shared" si="37"/>
        <v>8.6999999999999993</v>
      </c>
      <c r="G76" s="6">
        <f t="shared" si="37"/>
        <v>8.6999999999999993</v>
      </c>
      <c r="H76">
        <f t="shared" si="37"/>
        <v>8.6999999999999993</v>
      </c>
      <c r="I76" s="6">
        <f t="shared" si="37"/>
        <v>8.6999999999999993</v>
      </c>
      <c r="K76" s="10" t="str">
        <f t="shared" si="34"/>
        <v>Tuna Sirip Kuning 072</v>
      </c>
      <c r="L76" s="13">
        <v>8.4499999999999993</v>
      </c>
      <c r="M76" s="13">
        <f>6.08+4.5</f>
        <v>10.58</v>
      </c>
      <c r="N76" s="13">
        <v>8.1300000000000008</v>
      </c>
      <c r="O76" s="13">
        <f>4.38+5.85</f>
        <v>10.23</v>
      </c>
      <c r="P76" s="15">
        <f t="shared" si="35"/>
        <v>37.39</v>
      </c>
      <c r="Q76" s="15">
        <f t="shared" si="36"/>
        <v>58</v>
      </c>
      <c r="R76" s="16">
        <f t="shared" si="28"/>
        <v>0.64465517241379311</v>
      </c>
      <c r="S76" s="7" t="str">
        <f t="shared" si="30"/>
        <v>Memenuhi Target</v>
      </c>
    </row>
    <row r="77" spans="1:19" x14ac:dyDescent="0.35">
      <c r="A77" s="5">
        <v>73</v>
      </c>
      <c r="B77" s="12" t="s">
        <v>97</v>
      </c>
      <c r="C77" s="13">
        <v>32</v>
      </c>
      <c r="D77" s="14" t="s">
        <v>26</v>
      </c>
      <c r="E77" s="6">
        <f t="shared" si="37"/>
        <v>4.8</v>
      </c>
      <c r="F77" s="15">
        <f t="shared" si="37"/>
        <v>4.8</v>
      </c>
      <c r="G77" s="6">
        <f t="shared" si="37"/>
        <v>4.8</v>
      </c>
      <c r="H77">
        <f t="shared" si="37"/>
        <v>4.8</v>
      </c>
      <c r="I77" s="6">
        <f t="shared" si="37"/>
        <v>4.8</v>
      </c>
      <c r="K77" s="10" t="str">
        <f t="shared" si="34"/>
        <v>Tuna Sirip Kuning 073</v>
      </c>
      <c r="L77" s="13">
        <v>4.1500000000000004</v>
      </c>
      <c r="M77" s="13">
        <v>5.48</v>
      </c>
      <c r="N77" s="13">
        <v>4.2</v>
      </c>
      <c r="O77" s="13">
        <v>5.34</v>
      </c>
      <c r="P77" s="15">
        <f t="shared" si="35"/>
        <v>19.170000000000002</v>
      </c>
      <c r="Q77" s="15">
        <f t="shared" si="36"/>
        <v>32</v>
      </c>
      <c r="R77" s="16">
        <f t="shared" si="28"/>
        <v>0.59906250000000005</v>
      </c>
      <c r="S77" s="7" t="str">
        <f t="shared" si="30"/>
        <v>Di Bawah Target</v>
      </c>
    </row>
    <row r="78" spans="1:19" x14ac:dyDescent="0.35">
      <c r="A78" s="5">
        <v>74</v>
      </c>
      <c r="B78" s="12" t="s">
        <v>98</v>
      </c>
      <c r="C78" s="13">
        <v>23</v>
      </c>
      <c r="D78" s="14" t="s">
        <v>26</v>
      </c>
      <c r="E78" s="6">
        <f t="shared" si="37"/>
        <v>3.4499999999999997</v>
      </c>
      <c r="F78" s="15">
        <f t="shared" si="37"/>
        <v>3.4499999999999997</v>
      </c>
      <c r="G78" s="6">
        <f t="shared" si="37"/>
        <v>3.4499999999999997</v>
      </c>
      <c r="H78">
        <f t="shared" si="37"/>
        <v>3.4499999999999997</v>
      </c>
      <c r="I78" s="6">
        <f t="shared" si="37"/>
        <v>3.4499999999999997</v>
      </c>
      <c r="K78" s="10" t="str">
        <f t="shared" si="34"/>
        <v>Tuna Sirip Kuning 074</v>
      </c>
      <c r="L78" s="13">
        <v>3.28</v>
      </c>
      <c r="M78" s="13">
        <v>4.22</v>
      </c>
      <c r="N78" s="13">
        <v>3.38</v>
      </c>
      <c r="O78" s="13">
        <v>4.2300000000000004</v>
      </c>
      <c r="P78" s="15">
        <f t="shared" si="35"/>
        <v>15.11</v>
      </c>
      <c r="Q78" s="15">
        <f t="shared" si="36"/>
        <v>23</v>
      </c>
      <c r="R78" s="16">
        <f t="shared" si="28"/>
        <v>0.65695652173913044</v>
      </c>
      <c r="S78" s="7" t="str">
        <f t="shared" si="30"/>
        <v>Memenuhi Target</v>
      </c>
    </row>
    <row r="79" spans="1:19" x14ac:dyDescent="0.35">
      <c r="A79" s="5">
        <v>75</v>
      </c>
      <c r="B79" s="12" t="s">
        <v>99</v>
      </c>
      <c r="C79" s="13">
        <v>25</v>
      </c>
      <c r="D79" s="14" t="s">
        <v>25</v>
      </c>
      <c r="E79" s="6">
        <f t="shared" si="37"/>
        <v>3.75</v>
      </c>
      <c r="F79" s="15">
        <f t="shared" si="37"/>
        <v>3.75</v>
      </c>
      <c r="G79" s="6">
        <f t="shared" si="37"/>
        <v>3.75</v>
      </c>
      <c r="H79">
        <f t="shared" si="37"/>
        <v>3.75</v>
      </c>
      <c r="I79" s="6">
        <f t="shared" si="37"/>
        <v>3.75</v>
      </c>
      <c r="K79" s="10" t="str">
        <f t="shared" si="34"/>
        <v>Tuna Sirip Kuning 075</v>
      </c>
      <c r="L79" s="13">
        <v>3.25</v>
      </c>
      <c r="M79" s="13">
        <v>4.32</v>
      </c>
      <c r="N79" s="13">
        <v>3.07</v>
      </c>
      <c r="O79" s="13">
        <v>4.1500000000000004</v>
      </c>
      <c r="P79" s="15">
        <f t="shared" si="35"/>
        <v>14.790000000000001</v>
      </c>
      <c r="Q79" s="15">
        <f t="shared" si="36"/>
        <v>25</v>
      </c>
      <c r="R79" s="16">
        <f t="shared" si="28"/>
        <v>0.59160000000000001</v>
      </c>
      <c r="S79" s="7" t="str">
        <f t="shared" si="30"/>
        <v>Di Bawah Target</v>
      </c>
    </row>
    <row r="80" spans="1:19" x14ac:dyDescent="0.35">
      <c r="A80" s="5">
        <v>76</v>
      </c>
      <c r="B80" s="12" t="s">
        <v>100</v>
      </c>
      <c r="C80" s="13">
        <v>24</v>
      </c>
      <c r="D80" s="14" t="s">
        <v>26</v>
      </c>
      <c r="E80" s="6">
        <f t="shared" si="37"/>
        <v>3.5999999999999996</v>
      </c>
      <c r="F80" s="15">
        <f t="shared" si="37"/>
        <v>3.5999999999999996</v>
      </c>
      <c r="G80" s="6">
        <f t="shared" si="37"/>
        <v>3.5999999999999996</v>
      </c>
      <c r="H80">
        <f t="shared" si="37"/>
        <v>3.5999999999999996</v>
      </c>
      <c r="I80" s="6">
        <f t="shared" si="37"/>
        <v>3.5999999999999996</v>
      </c>
      <c r="K80" s="10" t="str">
        <f t="shared" si="34"/>
        <v>Tuna Sirip Kuning 076</v>
      </c>
      <c r="L80" s="13">
        <v>3.14</v>
      </c>
      <c r="M80" s="13">
        <v>4.1500000000000004</v>
      </c>
      <c r="N80" s="13">
        <v>3.11</v>
      </c>
      <c r="O80" s="13">
        <v>4.08</v>
      </c>
      <c r="P80" s="15">
        <f t="shared" si="35"/>
        <v>14.48</v>
      </c>
      <c r="Q80" s="15">
        <f t="shared" si="36"/>
        <v>24</v>
      </c>
      <c r="R80" s="16">
        <f t="shared" ref="R80" si="38">IF(OR(P80="",Q80="",Q80=0),"",P80/Q80)</f>
        <v>0.60333333333333339</v>
      </c>
      <c r="S80" s="7" t="str">
        <f t="shared" si="30"/>
        <v>Memenuhi Target</v>
      </c>
    </row>
    <row r="81" spans="1:19" x14ac:dyDescent="0.35">
      <c r="A81" s="5">
        <v>77</v>
      </c>
      <c r="B81" s="12" t="s">
        <v>101</v>
      </c>
      <c r="C81" s="13"/>
      <c r="D81" s="14"/>
      <c r="E81" s="6" t="str">
        <f t="shared" si="37"/>
        <v/>
      </c>
      <c r="F81" s="15" t="str">
        <f t="shared" si="37"/>
        <v/>
      </c>
      <c r="G81" s="6" t="str">
        <f t="shared" si="37"/>
        <v/>
      </c>
      <c r="H81" t="str">
        <f t="shared" si="37"/>
        <v/>
      </c>
      <c r="I81" s="6" t="str">
        <f t="shared" si="37"/>
        <v/>
      </c>
      <c r="K81" s="10" t="str">
        <f t="shared" si="34"/>
        <v>Tuna Sirip Kuning 077</v>
      </c>
      <c r="L81" s="13"/>
      <c r="M81" s="13"/>
      <c r="N81" s="13"/>
      <c r="O81" s="13"/>
      <c r="P81" s="15" t="str">
        <f t="shared" si="35"/>
        <v/>
      </c>
      <c r="Q81" s="15" t="str">
        <f t="shared" si="36"/>
        <v/>
      </c>
      <c r="R81" s="15" t="str">
        <f t="shared" ref="R81:R85" si="39">IF(COUNT(N81:Q81)=0,"",SUM(N81:Q81))</f>
        <v/>
      </c>
      <c r="S81" s="7" t="str">
        <f t="shared" si="30"/>
        <v/>
      </c>
    </row>
    <row r="82" spans="1:19" x14ac:dyDescent="0.35">
      <c r="A82" s="5">
        <v>78</v>
      </c>
      <c r="B82" s="12" t="s">
        <v>102</v>
      </c>
      <c r="C82" s="13"/>
      <c r="D82" s="14"/>
      <c r="E82" s="6" t="str">
        <f t="shared" si="37"/>
        <v/>
      </c>
      <c r="F82" s="15" t="str">
        <f t="shared" si="37"/>
        <v/>
      </c>
      <c r="G82" s="6" t="str">
        <f t="shared" si="37"/>
        <v/>
      </c>
      <c r="H82" t="str">
        <f t="shared" si="37"/>
        <v/>
      </c>
      <c r="I82" s="6" t="str">
        <f t="shared" si="37"/>
        <v/>
      </c>
      <c r="K82" s="10" t="str">
        <f t="shared" si="34"/>
        <v>Tuna Sirip Kuning 078</v>
      </c>
      <c r="L82" s="13"/>
      <c r="M82" s="13"/>
      <c r="N82" s="13"/>
      <c r="O82" s="13"/>
      <c r="P82" s="15" t="str">
        <f t="shared" si="35"/>
        <v/>
      </c>
      <c r="Q82" s="15" t="str">
        <f t="shared" si="36"/>
        <v/>
      </c>
      <c r="R82" s="15" t="str">
        <f t="shared" si="39"/>
        <v/>
      </c>
      <c r="S82" s="7" t="str">
        <f t="shared" si="30"/>
        <v/>
      </c>
    </row>
    <row r="83" spans="1:19" x14ac:dyDescent="0.35">
      <c r="A83" s="5">
        <v>79</v>
      </c>
      <c r="B83" s="12" t="s">
        <v>103</v>
      </c>
      <c r="C83" s="13"/>
      <c r="D83" s="14"/>
      <c r="E83" s="6" t="str">
        <f t="shared" si="37"/>
        <v/>
      </c>
      <c r="F83" s="15" t="str">
        <f t="shared" si="37"/>
        <v/>
      </c>
      <c r="G83" s="6" t="str">
        <f t="shared" si="37"/>
        <v/>
      </c>
      <c r="H83" t="str">
        <f t="shared" si="37"/>
        <v/>
      </c>
      <c r="I83" s="6" t="str">
        <f t="shared" si="37"/>
        <v/>
      </c>
      <c r="K83" s="10" t="str">
        <f t="shared" si="34"/>
        <v>Tuna Sirip Kuning 079</v>
      </c>
      <c r="L83" s="13"/>
      <c r="M83" s="13"/>
      <c r="N83" s="13"/>
      <c r="O83" s="13"/>
      <c r="P83" s="15" t="str">
        <f t="shared" si="35"/>
        <v/>
      </c>
      <c r="Q83" s="15" t="str">
        <f t="shared" si="36"/>
        <v/>
      </c>
      <c r="R83" s="15" t="str">
        <f t="shared" si="39"/>
        <v/>
      </c>
      <c r="S83" s="7" t="str">
        <f t="shared" si="30"/>
        <v/>
      </c>
    </row>
    <row r="84" spans="1:19" x14ac:dyDescent="0.35">
      <c r="A84" s="5">
        <v>80</v>
      </c>
      <c r="B84" s="12" t="s">
        <v>104</v>
      </c>
      <c r="C84" s="13"/>
      <c r="D84" s="14"/>
      <c r="E84" s="6" t="str">
        <f t="shared" si="37"/>
        <v/>
      </c>
      <c r="F84" s="15" t="str">
        <f t="shared" si="37"/>
        <v/>
      </c>
      <c r="G84" s="6" t="str">
        <f t="shared" si="37"/>
        <v/>
      </c>
      <c r="H84" t="str">
        <f t="shared" si="37"/>
        <v/>
      </c>
      <c r="I84" s="6" t="str">
        <f t="shared" si="37"/>
        <v/>
      </c>
      <c r="K84" s="10" t="str">
        <f t="shared" si="34"/>
        <v>Tuna Sirip Kuning 080</v>
      </c>
      <c r="L84" s="13"/>
      <c r="M84" s="13"/>
      <c r="N84" s="13"/>
      <c r="O84" s="13"/>
      <c r="P84" s="15" t="str">
        <f t="shared" si="35"/>
        <v/>
      </c>
      <c r="Q84" s="15" t="str">
        <f t="shared" si="36"/>
        <v/>
      </c>
      <c r="R84" s="15" t="str">
        <f t="shared" si="39"/>
        <v/>
      </c>
      <c r="S84" s="7" t="str">
        <f t="shared" si="30"/>
        <v/>
      </c>
    </row>
    <row r="85" spans="1:19" x14ac:dyDescent="0.35">
      <c r="A85" s="5">
        <v>81</v>
      </c>
      <c r="B85" s="12" t="s">
        <v>105</v>
      </c>
      <c r="C85" s="13"/>
      <c r="D85" s="14"/>
      <c r="E85" s="6" t="str">
        <f t="shared" si="37"/>
        <v/>
      </c>
      <c r="F85" s="15" t="str">
        <f t="shared" si="37"/>
        <v/>
      </c>
      <c r="G85" s="6" t="str">
        <f t="shared" si="37"/>
        <v/>
      </c>
      <c r="H85" t="str">
        <f t="shared" si="37"/>
        <v/>
      </c>
      <c r="I85" s="6" t="str">
        <f t="shared" si="37"/>
        <v/>
      </c>
      <c r="K85" s="10" t="str">
        <f t="shared" si="34"/>
        <v>Tuna Sirip Kuning 081</v>
      </c>
      <c r="L85" s="13"/>
      <c r="M85" s="13"/>
      <c r="N85" s="13"/>
      <c r="O85" s="13"/>
      <c r="P85" s="15" t="str">
        <f t="shared" si="35"/>
        <v/>
      </c>
      <c r="Q85" s="15" t="str">
        <f t="shared" si="36"/>
        <v/>
      </c>
      <c r="R85" s="15" t="str">
        <f t="shared" si="39"/>
        <v/>
      </c>
      <c r="S85" s="7" t="str">
        <f t="shared" si="30"/>
        <v/>
      </c>
    </row>
    <row r="86" spans="1:19" x14ac:dyDescent="0.35">
      <c r="B86" t="s">
        <v>23</v>
      </c>
      <c r="C86">
        <f>SUM(C5:C80)</f>
        <v>2874</v>
      </c>
      <c r="E86">
        <f>SUM(E5:E54)</f>
        <v>286.80000000000013</v>
      </c>
      <c r="F86">
        <f>SUM(F5:F54)</f>
        <v>286.80000000000013</v>
      </c>
      <c r="G86">
        <f>SUM(G5:G54)</f>
        <v>286.80000000000013</v>
      </c>
      <c r="H86">
        <f>SUM(H5:H54)</f>
        <v>286.80000000000013</v>
      </c>
      <c r="I86">
        <f>SUM(I5:I54)</f>
        <v>700.3499999999998</v>
      </c>
      <c r="K86" t="s">
        <v>23</v>
      </c>
      <c r="P86">
        <f>SUM(P5:P54)</f>
        <v>1175.8599999999997</v>
      </c>
      <c r="Q86">
        <f>SUM(Q5:Q54)</f>
        <v>1912</v>
      </c>
      <c r="R86" s="18">
        <f>IF(Q86=0,"",P86/Q86)</f>
        <v>0.61498953974895376</v>
      </c>
      <c r="S86" t="str">
        <f t="shared" ref="S86" si="40">IF(R86="","",IF(R86&gt;=($H$1*4),"Memenuhi Target","Di Bawah Target"))</f>
        <v>Memenuhi Target</v>
      </c>
    </row>
  </sheetData>
  <mergeCells count="4">
    <mergeCell ref="A1:E1"/>
    <mergeCell ref="A2:S2"/>
    <mergeCell ref="A3:I3"/>
    <mergeCell ref="K3:S3"/>
  </mergeCells>
  <dataValidations count="1">
    <dataValidation type="list" allowBlank="1" sqref="D5:D85" xr:uid="{00000000-0002-0000-0100-000000000000}">
      <formula1>"A,B,C,Reject"</formula1>
      <formula2>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TALLY DALAM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Zuhud Maulana</dc:creator>
  <cp:lastModifiedBy>Muhammad Syeikh Maulana Zuhud</cp:lastModifiedBy>
  <dcterms:created xsi:type="dcterms:W3CDTF">2026-08-13T19:38:49Z</dcterms:created>
  <dcterms:modified xsi:type="dcterms:W3CDTF">2026-08-16T06:51:32Z</dcterms:modified>
</cp:coreProperties>
</file>